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b1e3e05317db2af/Bureaublad/Obsidian/Code-Project/JADS Courses/Process Mining/peer review 8/"/>
    </mc:Choice>
  </mc:AlternateContent>
  <xr:revisionPtr revIDLastSave="0" documentId="11_8C25F1927767F3D0CECC577BE026DFFE8292A938" xr6:coauthVersionLast="47" xr6:coauthVersionMax="47" xr10:uidLastSave="{00000000-0000-0000-0000-000000000000}"/>
  <bookViews>
    <workbookView xWindow="-120" yWindow="-120" windowWidth="38640" windowHeight="15720" activeTab="2" xr2:uid="{00000000-000D-0000-FFFF-FFFF00000000}"/>
  </bookViews>
  <sheets>
    <sheet name="Rubric_Explanation" sheetId="1" r:id="rId1"/>
    <sheet name="Rubric_ShortPaper" sheetId="2" r:id="rId2"/>
    <sheet name="Rubric_PosterandPitc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J8" i="3"/>
  <c r="J7" i="3"/>
  <c r="J6" i="3"/>
  <c r="J5" i="3"/>
  <c r="J4" i="3"/>
  <c r="J2" i="3"/>
  <c r="H2" i="3"/>
  <c r="J8" i="2"/>
  <c r="J7" i="2"/>
  <c r="J6" i="2"/>
  <c r="J5" i="2"/>
  <c r="J4" i="2"/>
  <c r="J3" i="2"/>
  <c r="J2" i="2"/>
  <c r="H2" i="2"/>
</calcChain>
</file>

<file path=xl/sharedStrings.xml><?xml version="1.0" encoding="utf-8"?>
<sst xmlns="http://schemas.openxmlformats.org/spreadsheetml/2006/main" count="80" uniqueCount="66">
  <si>
    <t xml:space="preserve">The assignment contributes 30% to the final course grade and consists of multiple deliverables which contribute to the overall assignment grade as follows. </t>
  </si>
  <si>
    <t>Deliverable</t>
  </si>
  <si>
    <t>Percentage</t>
  </si>
  <si>
    <t>Remarks</t>
  </si>
  <si>
    <t>Short Paper</t>
  </si>
  <si>
    <t>detailed rubric see sheet Rubric_ShortPaper (use this for peer-review; S3 can only be partially checked as you do not have access to the implementation)</t>
  </si>
  <si>
    <t>Poster and Pitch</t>
  </si>
  <si>
    <t xml:space="preserve">detailed rubric see sheet Rubric_PosterandPitch  (use this for peer-review; P1 can only be partially checked as you do not have access to the short paper) </t>
  </si>
  <si>
    <t>Implementation</t>
  </si>
  <si>
    <t>pay attention to Code Structure and Understandability (10 points); Installation Instructions (3 points); Run Instructions (3 points); Correctness and Reproducibility (14 points) as described in the implementation instructions document; if you have developed a gold standard and your own artificial datasets you should submit them together with the implementation (anything that helps to reproduce your results should be provided)</t>
  </si>
  <si>
    <t>Peer-reviews</t>
  </si>
  <si>
    <t>you have to deliver 3 peer reviews, 1) for the short paper draft of one other group (4 points), 2) poster session 1 for two groups (3 points), 3) poster session 2 for two groups (3 points); 1) is a group assignment, 2)+3) are individual assignments; the peer-review will be assessed on whether it is on-time, elaborate, constructive and complete w.r.t. the rubric. For the short paper we also expect that you provide improvement directions.</t>
  </si>
  <si>
    <t>Technology Statement</t>
  </si>
  <si>
    <t>Please note that the technology statement is a mandatory deliverable for the assignment and not providing it will lead to failing the assignment (0 points). In addition, please do not forget that all presenting groups will have to explain their assignment, in particular their implementation, to the lecturers after the poster sessions.</t>
  </si>
  <si>
    <t>ID</t>
  </si>
  <si>
    <t>Item</t>
  </si>
  <si>
    <t>Insufficient (1-5)</t>
  </si>
  <si>
    <t>Sufficient (6)</t>
  </si>
  <si>
    <t>Good (7-8)</t>
  </si>
  <si>
    <t>Very Good (9-10)</t>
  </si>
  <si>
    <t>Max. Points</t>
  </si>
  <si>
    <t>Grade</t>
  </si>
  <si>
    <t>Achieved Points</t>
  </si>
  <si>
    <t>Explanation/Feedback</t>
  </si>
  <si>
    <t>Overall</t>
  </si>
  <si>
    <t>S1</t>
  </si>
  <si>
    <t>Motivation and Scientific Background</t>
  </si>
  <si>
    <t>The scientific motivation and relevance of the approach are correctly, comprehensively and understandably described using a concrete use case and/or a comprehensive example. An explanation how the topic is embedded in the course and related to the other course topics is provided.  Commonalities and differences to other topics are described and explained.</t>
  </si>
  <si>
    <t>Strengths: The motivation is clear and well scoped. You state the gap precisely: Francescomarino et al. (2019) cluster traces and train one classifier per cluster, Padella et al. (2025) use an LLM only for remaining time, so adapting that prompt to outcome prediction across the four labeling strategies is a sound research question. The embedding in the course (PPM as basis for prescriptive monitoring) and the relation to the other groups (same pipeline, different learner / feature space / explainability) are both addressed.
Improvements: (1) The use case is generic (a hospital planning capacity). Tie it to BPIC 2011 itself, e.g. a concrete case from the gynaecology log and what an LTL rule violation would mean for it. (2) Key concepts are used before they are explained: prefix, outcome, labeling strategy, LTL rule. One sentence plus a small example (a trace, a rule, its label) would make the section self-contained. (3) The claim that LLMs give accurate, robust predictions rests on a single general citation (Requeima et al., 2024). Add a PPM-specific reference, or soften the claim. (4) State the research question or hypothesis explicitly at the end of 1.1, so the evaluation can later be tied back to it. (5) Section 2 repeats the introductory paragraph almost verbatim; move the detail to one place.</t>
  </si>
  <si>
    <t>S2</t>
  </si>
  <si>
    <t>Conceptual Approach</t>
  </si>
  <si>
    <t>The input required for the methods/algorithms, e.g., event log, process model, their formats, etc. are clearly and correctly explained. If applicable, parameters and their purpose are clearly and correctly explained. All crucial steps of the approach are explained including sound rationales. This means that a detail method description and motivation is provided. The output of the methods/algorithms is clearly and correctly explained and, if applicable, also visualized.</t>
  </si>
  <si>
    <t>Strengths: The two workflows (clustering plus classifier, and LLM prompting) are separated clearly, and Figure 1 gives a quick overview. The parameters and their values are listed (g, k range, BIC, minPoints, epsilon, 0.5 threshold). The output (binary normal/deviant plus F1 and accuracy) is stated.
Improvements: (1) The purpose of the parameters is mostly missing. Explain what g = 5 means for the prefixes, why k is chosen by BIC, what epsilon and minPoints control in DBSCAN, and why a 0.5 threshold. (2) Section 2.3 is very short. Last-state encoding, sequential encoding, and the frequency encoding (which only appears in 3.2.1) are not explained conceptually. (3) Your own additions (removing the case attributes, adding a boolean history encoding) and their rationale, the leakage argument, are the most original conceptual contribution, but they only appear in 3.2.2 under Implementation. Move them to Section 2 and add them to Figure 1. (4) Figure 1 also omits JEV, and the arrows and labels are hard to follow (Input Data, Prompt Context and Output float between the two boxes). Show the pipeline per step. (5) The LTL rules 1 to 4 are never stated in this section; the reader needs to know what is being predicted. (6) The input is described as an event log, but the format (XES) and the split (80/20 chronological) are spread over 2.1 and 3.1. Keep the input description in one place. (7) The output could be illustrated with a small example prediction.</t>
  </si>
  <si>
    <t>S3</t>
  </si>
  <si>
    <t xml:space="preserve">Relevant implementation details are provided to complement the description of the conceptual approach in order to ensure reproducibility. This description matches the actual implementation. Note that the implementation as such is graded separately. </t>
  </si>
  <si>
    <t>Note: we only had the paper, not the code, so we could check completeness and internal consistency, not whether it matches the implementation.
Strengths: Very good reproducibility detail. Python version, uv with pyproject.toml, a package table with versions, the module structure (model pipeline, llm pipeline, jev pipeline) and one notebook per rule. Seeds (42), temperature 0, context window 32,768 tokens with a check that the server uses it, max 800 tokens, 120 s timeout, three retries, and the fallback label when no answer can be parsed (115 of 12,084) are all given. Split and prefix counts (914/229 cases, 3,401/1,007 prefixes) and the diagonal covariance choice with its reason are clear, and Appendix A contains the prompt.
Improvements: (1) Say in which order to run the notebooks, where the BPIC 2011 file is expected, and how long a full run takes. (2) Mention the hardware or server behind Ollama, and note that temperature 0 on a remote server is not guaranteed to give identical output across machines. (3) Say how the JEV API is accessed (key, cost, availability), since this limits reproducibility for others. (4) Clarify typesafe-sdk 0.7.4 (package) versus jev-1.13.0 (model version) in one line. (5) Small typo in 3.3: 'removed form all cases'.</t>
  </si>
  <si>
    <t>S4</t>
  </si>
  <si>
    <t>Evaluation Design and Results</t>
  </si>
  <si>
    <t>The data used for the evaluation is described in sufficient detail.
The evaluation design is correct, clearly described and motivated. The results are explained in sufficient detail including, if applicable, corner cases/cases that failed along with an explanation why they failed. The results are visualized in a comprehensive, understandable and correct manner using, e.g., tables, figures and similar. How the gold standard (ground truth) to be able to test the correctness of the approach was generated is clearly explained and reasonable. If applicable, parameter settings are explained, comprehensively tested and their selection (e.g., if thresholds can be set) are clearly motivated. If applicable, the results are comprehensively compared to relevant related algorithms/methods.</t>
  </si>
  <si>
    <t>S5</t>
  </si>
  <si>
    <t>Limitations and Future Work</t>
  </si>
  <si>
    <t>Limitations of the conceptual approach and/or limitations observed based on the evaluation results are derived and explained. Future work is outlined and linked to either the limitations of the approach as such and/or the overall topic.</t>
  </si>
  <si>
    <t>S6</t>
  </si>
  <si>
    <t>Report Quality, Structure and Appearance</t>
  </si>
  <si>
    <t>The report adheres to the given page limit. The page limit is used adequately, i.e., the weighting of the different sub-sections reflects their importance. Academic language and terminology are used properly. There is effective use of visualizations, i.e., content is not only presented through textual information but supported by appropriate visualizations (including tables, figures, etc.). Statements are supported by relevant scientific literature.</t>
  </si>
  <si>
    <t>P1</t>
  </si>
  <si>
    <t>Content</t>
  </si>
  <si>
    <t>The content of the poster is correct and complete. It matches the content of the short paper. Note that the content as such is graded mainly through the short paper.</t>
  </si>
  <si>
    <t>P2</t>
  </si>
  <si>
    <t>Structure</t>
  </si>
  <si>
    <t>The poster is structured based on the provided template. The template is reasonably extended in case necessary. The structure is followed during the pitch. The connection between the different parts is clear and logically presented.</t>
  </si>
  <si>
    <t>P3</t>
  </si>
  <si>
    <t>Timing</t>
  </si>
  <si>
    <t>The overall time frame of 3 minutes is used adequately (not too short and not exceeded). The different parts of the pitch are allocated a reasonable amount of time considering their importance.</t>
  </si>
  <si>
    <t>P4</t>
  </si>
  <si>
    <t>Terminology and Presentation Style</t>
  </si>
  <si>
    <t>Academic language and terminology are used properly. Presentation style during the pitch is adequate.</t>
  </si>
  <si>
    <t>P5</t>
  </si>
  <si>
    <t>Visualizations</t>
  </si>
  <si>
    <t>There is effective use of visualizations, i.e., content is not only presented through textual information but supported by appropriate visualizations.</t>
  </si>
  <si>
    <t>P6</t>
  </si>
  <si>
    <t>Readability and Formating</t>
  </si>
  <si>
    <t>All elements on the poster are clearly readable, in particular visualizations. Poster is well-formatted.</t>
  </si>
  <si>
    <t>P7</t>
  </si>
  <si>
    <t>Q&amp;A and Discussion</t>
  </si>
  <si>
    <t>Questions by peers and lecturers can be answered correctly and comprehensively. If necessary, questions are answered during the pitch, i.e., there is flexibility in how it is presented without losing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</si>
</sst>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b/>
      <sz val="11"/>
      <color theme="1"/>
      <name val="Aptos Narrow"/>
      <family val="2"/>
      <scheme val="minor"/>
    </font>
    <font>
      <b/>
      <sz val="11"/>
      <color rgb="FF000000"/>
      <name val="Aptos Narrow"/>
      <charset val="1"/>
    </font>
    <font>
      <sz val="11"/>
      <color rgb="FFFF0000"/>
      <name val="Aptos Narrow"/>
      <family val="2"/>
      <scheme val="minor"/>
    </font>
    <font>
      <sz val="11"/>
      <color rgb="FFFF0000"/>
      <name val="Aptos Narrow"/>
      <scheme val="minor"/>
    </font>
    <font>
      <b/>
      <sz val="11"/>
      <color rgb="FF000000"/>
      <name val="Aptos Narrow"/>
      <scheme val="minor"/>
    </font>
    <font>
      <sz val="11"/>
      <color rgb="FF000000"/>
      <name val="Aptos Narrow"/>
      <charset val="1"/>
    </font>
    <font>
      <sz val="11"/>
      <color rgb="FF000000"/>
      <name val="Aptos Narrow"/>
      <scheme val="minor"/>
    </font>
    <font>
      <sz val="11"/>
      <color theme="1"/>
      <name val="Aptos Narrow"/>
      <scheme val="minor"/>
    </font>
    <font>
      <b/>
      <sz val="11"/>
      <color rgb="FF000000"/>
      <name val="Aptos Narrow"/>
      <family val="2"/>
      <scheme val="minor"/>
    </font>
    <font>
      <sz val="11"/>
      <color rgb="FF000000"/>
      <name val="Aptos Narrow"/>
      <family val="2"/>
      <scheme val="minor"/>
    </font>
    <font>
      <b/>
      <sz val="11"/>
      <color rgb="FFFF0000"/>
      <name val="Aptos Narrow"/>
      <scheme val="minor"/>
    </font>
  </fonts>
  <fills count="2">
    <fill>
      <patternFill patternType="none"/>
    </fill>
    <fill>
      <patternFill patternType="gray125"/>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96">
    <xf numFmtId="0" fontId="0" fillId="0" borderId="0" xfId="0"/>
    <xf numFmtId="0" fontId="0" fillId="0" borderId="1" xfId="0" applyBorder="1" applyAlignment="1">
      <alignment horizontal="center" vertical="center" wrapText="1"/>
    </xf>
    <xf numFmtId="0" fontId="0" fillId="0" borderId="5" xfId="0" applyBorder="1" applyAlignment="1">
      <alignment horizontal="center" vertical="center" wrapText="1"/>
    </xf>
    <xf numFmtId="0" fontId="3" fillId="0" borderId="1" xfId="0" applyFont="1" applyBorder="1" applyAlignment="1">
      <alignment wrapText="1"/>
    </xf>
    <xf numFmtId="0" fontId="0" fillId="0" borderId="1" xfId="0" applyBorder="1" applyAlignment="1">
      <alignment vertical="center" wrapText="1"/>
    </xf>
    <xf numFmtId="0" fontId="0" fillId="0" borderId="0" xfId="0" applyAlignment="1">
      <alignment horizontal="center" vertical="center" wrapText="1"/>
    </xf>
    <xf numFmtId="0" fontId="3" fillId="0" borderId="0" xfId="0" applyFont="1" applyAlignment="1">
      <alignment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6" xfId="0" applyBorder="1" applyAlignment="1">
      <alignment vertical="center" wrapText="1"/>
    </xf>
    <xf numFmtId="0" fontId="3" fillId="0" borderId="6" xfId="0" applyFont="1" applyBorder="1" applyAlignment="1">
      <alignment wrapText="1"/>
    </xf>
    <xf numFmtId="0" fontId="0" fillId="0" borderId="15" xfId="0" applyBorder="1" applyAlignment="1">
      <alignment horizontal="center" vertical="center" wrapText="1"/>
    </xf>
    <xf numFmtId="0" fontId="0" fillId="0" borderId="3" xfId="0" applyBorder="1" applyAlignment="1">
      <alignment wrapText="1"/>
    </xf>
    <xf numFmtId="0" fontId="1" fillId="0" borderId="8" xfId="0" applyFont="1" applyBorder="1" applyAlignment="1">
      <alignment horizontal="center" vertical="center" wrapText="1"/>
    </xf>
    <xf numFmtId="0" fontId="2"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wrapText="1"/>
    </xf>
    <xf numFmtId="0" fontId="1" fillId="0" borderId="15" xfId="0" applyFont="1" applyBorder="1" applyAlignment="1">
      <alignment horizontal="center" vertical="center" wrapText="1"/>
    </xf>
    <xf numFmtId="0" fontId="1" fillId="0" borderId="16" xfId="0" applyFont="1" applyBorder="1" applyAlignment="1">
      <alignment vertical="center" wrapText="1"/>
    </xf>
    <xf numFmtId="0" fontId="0" fillId="0" borderId="10" xfId="0" applyBorder="1" applyAlignment="1">
      <alignment horizontal="center" vertical="center" wrapText="1"/>
    </xf>
    <xf numFmtId="0" fontId="0" fillId="0" borderId="2" xfId="0" applyBorder="1" applyAlignment="1">
      <alignment wrapText="1"/>
    </xf>
    <xf numFmtId="0" fontId="0" fillId="0" borderId="11" xfId="0" applyBorder="1" applyAlignment="1">
      <alignment horizontal="center" vertical="center" wrapText="1"/>
    </xf>
    <xf numFmtId="0" fontId="0" fillId="0" borderId="1" xfId="0" applyBorder="1" applyAlignment="1">
      <alignment wrapText="1"/>
    </xf>
    <xf numFmtId="0" fontId="0" fillId="0" borderId="5" xfId="0" applyBorder="1" applyAlignment="1">
      <alignment wrapText="1"/>
    </xf>
    <xf numFmtId="0" fontId="0" fillId="0" borderId="12" xfId="0" applyBorder="1" applyAlignment="1">
      <alignment horizontal="center" vertical="center" wrapText="1"/>
    </xf>
    <xf numFmtId="0" fontId="0" fillId="0" borderId="6" xfId="0" applyBorder="1" applyAlignment="1">
      <alignment wrapText="1"/>
    </xf>
    <xf numFmtId="0" fontId="0" fillId="0" borderId="6" xfId="0" applyBorder="1" applyAlignment="1">
      <alignment horizontal="center" vertical="center" wrapText="1"/>
    </xf>
    <xf numFmtId="0" fontId="0" fillId="0" borderId="17" xfId="0" applyBorder="1" applyAlignment="1">
      <alignment horizontal="center" vertical="center" wrapText="1"/>
    </xf>
    <xf numFmtId="0" fontId="0" fillId="0" borderId="7" xfId="0" applyBorder="1" applyAlignment="1">
      <alignment wrapText="1"/>
    </xf>
    <xf numFmtId="0" fontId="2" fillId="0" borderId="15" xfId="0" applyFont="1" applyBorder="1" applyAlignment="1">
      <alignment horizontal="center" vertical="center" wrapText="1"/>
    </xf>
    <xf numFmtId="0" fontId="0" fillId="0" borderId="20" xfId="0" applyBorder="1" applyAlignment="1">
      <alignment horizontal="center" vertical="center" wrapText="1"/>
    </xf>
    <xf numFmtId="0" fontId="1" fillId="0" borderId="20" xfId="0" applyFont="1" applyBorder="1" applyAlignment="1">
      <alignment horizontal="left" vertical="center" wrapText="1"/>
    </xf>
    <xf numFmtId="0" fontId="1" fillId="0" borderId="20" xfId="0" applyFont="1" applyBorder="1" applyAlignment="1">
      <alignment horizontal="center" vertical="center" wrapText="1"/>
    </xf>
    <xf numFmtId="0" fontId="1" fillId="0" borderId="23" xfId="0" applyFont="1" applyBorder="1" applyAlignment="1">
      <alignment vertical="center" wrapText="1"/>
    </xf>
    <xf numFmtId="0" fontId="0" fillId="0" borderId="22" xfId="0" applyBorder="1" applyAlignment="1">
      <alignment horizontal="center" vertical="center" wrapText="1"/>
    </xf>
    <xf numFmtId="0" fontId="0" fillId="0" borderId="20" xfId="0" applyBorder="1" applyAlignment="1">
      <alignment horizontal="left" vertical="center" wrapText="1"/>
    </xf>
    <xf numFmtId="0" fontId="6" fillId="0" borderId="20" xfId="0" applyFont="1" applyBorder="1" applyAlignment="1">
      <alignment horizontal="center" vertical="center" wrapText="1"/>
    </xf>
    <xf numFmtId="0" fontId="3" fillId="0" borderId="2" xfId="0" applyFont="1" applyBorder="1" applyAlignment="1">
      <alignment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xf numFmtId="0" fontId="4" fillId="0" borderId="0" xfId="0" applyFont="1" applyAlignment="1">
      <alignment wrapText="1"/>
    </xf>
    <xf numFmtId="0" fontId="0" fillId="0" borderId="0" xfId="0" applyAlignment="1">
      <alignment horizontal="left" vertical="center" wrapText="1"/>
    </xf>
    <xf numFmtId="0" fontId="6" fillId="0" borderId="0" xfId="0" applyFont="1" applyAlignment="1">
      <alignment horizontal="center" vertical="center" wrapText="1"/>
    </xf>
    <xf numFmtId="164" fontId="2"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2" fillId="0" borderId="0" xfId="0" applyFon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wrapText="1"/>
    </xf>
    <xf numFmtId="0" fontId="7" fillId="0" borderId="0" xfId="0" applyFont="1" applyAlignment="1">
      <alignment vertical="center" wrapText="1"/>
    </xf>
    <xf numFmtId="164" fontId="2" fillId="0" borderId="0" xfId="0" applyNumberFormat="1" applyFont="1" applyAlignment="1">
      <alignment vertical="center" wrapText="1"/>
    </xf>
    <xf numFmtId="2" fontId="1" fillId="0" borderId="0" xfId="0" applyNumberFormat="1" applyFont="1" applyAlignment="1">
      <alignment vertical="center" wrapText="1"/>
    </xf>
    <xf numFmtId="0" fontId="4" fillId="0" borderId="0" xfId="0" applyFont="1" applyAlignment="1">
      <alignment vertical="center" wrapText="1"/>
    </xf>
    <xf numFmtId="0" fontId="0" fillId="0" borderId="0" xfId="0" applyAlignment="1">
      <alignment horizontal="center"/>
    </xf>
    <xf numFmtId="0" fontId="7" fillId="0" borderId="24" xfId="0" applyFont="1" applyBorder="1" applyAlignment="1">
      <alignment vertical="center" wrapText="1"/>
    </xf>
    <xf numFmtId="0" fontId="0" fillId="0" borderId="5" xfId="0" applyBorder="1" applyAlignment="1">
      <alignment vertical="center" wrapText="1"/>
    </xf>
    <xf numFmtId="0" fontId="7" fillId="0" borderId="21" xfId="0" applyFont="1" applyBorder="1" applyAlignment="1">
      <alignment vertical="center" wrapText="1"/>
    </xf>
    <xf numFmtId="0" fontId="7" fillId="0" borderId="5" xfId="0" applyFont="1" applyBorder="1" applyAlignment="1">
      <alignment vertical="center" wrapText="1"/>
    </xf>
    <xf numFmtId="0" fontId="10" fillId="0" borderId="0" xfId="0" applyFont="1" applyAlignment="1">
      <alignment horizontal="center" vertical="center" wrapText="1"/>
    </xf>
    <xf numFmtId="0" fontId="0" fillId="0" borderId="19" xfId="0" applyBorder="1" applyAlignment="1">
      <alignment horizontal="center" vertical="center" wrapText="1"/>
    </xf>
    <xf numFmtId="0" fontId="0" fillId="0" borderId="17" xfId="0" applyBorder="1" applyAlignment="1">
      <alignment horizontal="left" vertical="center" wrapText="1"/>
    </xf>
    <xf numFmtId="0" fontId="6" fillId="0" borderId="17" xfId="0" applyFont="1" applyBorder="1" applyAlignment="1">
      <alignment horizontal="center" vertical="center" wrapText="1"/>
    </xf>
    <xf numFmtId="0" fontId="0" fillId="0" borderId="18" xfId="0" applyBorder="1" applyAlignment="1">
      <alignment vertical="center" wrapText="1"/>
    </xf>
    <xf numFmtId="0" fontId="8" fillId="0" borderId="5" xfId="0" applyFont="1" applyBorder="1" applyAlignment="1">
      <alignment vertical="center" wrapText="1"/>
    </xf>
    <xf numFmtId="0" fontId="1" fillId="0" borderId="24"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8" fillId="0" borderId="7" xfId="0" applyFont="1" applyBorder="1" applyAlignment="1">
      <alignment vertical="center" wrapText="1"/>
    </xf>
    <xf numFmtId="9" fontId="0" fillId="0" borderId="1" xfId="0" applyNumberFormat="1" applyBorder="1" applyAlignment="1">
      <alignment horizontal="left" vertical="center" wrapText="1"/>
    </xf>
    <xf numFmtId="0" fontId="0" fillId="0" borderId="6" xfId="0" applyBorder="1" applyAlignment="1">
      <alignment horizontal="left" vertical="center" wrapText="1"/>
    </xf>
    <xf numFmtId="0" fontId="0" fillId="0" borderId="2" xfId="0" applyBorder="1" applyAlignment="1">
      <alignment horizontal="center" vertical="center"/>
    </xf>
    <xf numFmtId="0" fontId="0" fillId="0" borderId="4" xfId="0" applyBorder="1" applyAlignment="1">
      <alignment vertical="top" wrapText="1"/>
    </xf>
    <xf numFmtId="0" fontId="0" fillId="0" borderId="1" xfId="0" applyBorder="1" applyAlignment="1">
      <alignment horizontal="center" vertical="center"/>
    </xf>
    <xf numFmtId="0" fontId="0" fillId="0" borderId="5" xfId="0" applyBorder="1" applyAlignment="1">
      <alignment vertical="top" wrapText="1"/>
    </xf>
    <xf numFmtId="0" fontId="11" fillId="0" borderId="27" xfId="0" applyFont="1" applyBorder="1" applyAlignment="1">
      <alignment horizontal="center" vertical="center" wrapText="1"/>
    </xf>
    <xf numFmtId="0" fontId="0" fillId="0" borderId="28" xfId="0" applyBorder="1"/>
    <xf numFmtId="0" fontId="0" fillId="0" borderId="29" xfId="0" applyBorder="1"/>
    <xf numFmtId="0" fontId="1" fillId="0" borderId="14" xfId="0" applyFont="1" applyBorder="1" applyAlignment="1">
      <alignment horizontal="left" vertical="center" wrapText="1"/>
    </xf>
    <xf numFmtId="0" fontId="0" fillId="0" borderId="31" xfId="0" applyBorder="1"/>
    <xf numFmtId="0" fontId="0" fillId="0" borderId="14" xfId="0" applyBorder="1"/>
    <xf numFmtId="0" fontId="2" fillId="0" borderId="0" xfId="0" applyFont="1" applyAlignment="1">
      <alignment horizontal="center" vertical="center" wrapText="1"/>
    </xf>
    <xf numFmtId="0" fontId="0" fillId="0" borderId="0" xfId="0" applyAlignment="1">
      <alignment wrapText="1"/>
    </xf>
    <xf numFmtId="0" fontId="9" fillId="0" borderId="0" xfId="0" applyFont="1" applyAlignment="1">
      <alignment horizontal="left" vertical="center" wrapText="1"/>
    </xf>
    <xf numFmtId="0" fontId="2" fillId="0" borderId="0" xfId="0" applyFont="1" applyAlignment="1">
      <alignment horizontal="left"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9" fillId="0" borderId="30" xfId="0" applyFont="1" applyBorder="1" applyAlignment="1">
      <alignment horizontal="center" vertical="center" wrapText="1"/>
    </xf>
    <xf numFmtId="0" fontId="0" fillId="0" borderId="13" xfId="0" applyBorder="1"/>
    <xf numFmtId="0" fontId="0" fillId="0" borderId="26" xfId="0" applyBorder="1"/>
    <xf numFmtId="0" fontId="9" fillId="0" borderId="0" xfId="0" applyFont="1" applyAlignment="1">
      <alignment horizontal="center" vertical="center" wrapText="1"/>
    </xf>
    <xf numFmtId="0" fontId="1" fillId="0" borderId="25" xfId="0" applyFont="1" applyBorder="1" applyAlignment="1">
      <alignment horizontal="left" vertical="center" wrapText="1"/>
    </xf>
  </cellXfs>
  <cellStyles count="1">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opLeftCell="A24" workbookViewId="0">
      <selection activeCell="E7" sqref="E7"/>
    </sheetView>
  </sheetViews>
  <sheetFormatPr defaultColWidth="9.140625" defaultRowHeight="15" x14ac:dyDescent="0.25"/>
  <cols>
    <col min="1" max="1" width="25.28515625" style="16" customWidth="1"/>
    <col min="2" max="2" width="16.5703125" style="16" customWidth="1"/>
    <col min="3" max="3" width="88.7109375" style="16" customWidth="1"/>
    <col min="4" max="4" width="19.140625" style="16" customWidth="1"/>
    <col min="5" max="5" width="31.5703125" style="16" customWidth="1"/>
    <col min="6" max="6" width="16.140625" style="16" customWidth="1"/>
    <col min="7" max="7" width="87" style="16" customWidth="1"/>
    <col min="8" max="8" width="11.5703125" style="16" customWidth="1"/>
    <col min="9" max="9" width="9.140625" style="16" customWidth="1"/>
    <col min="10" max="10" width="15.85546875" style="16" customWidth="1"/>
    <col min="11" max="11" width="40.140625" style="16" customWidth="1"/>
    <col min="12" max="12" width="9.140625" style="16" customWidth="1"/>
    <col min="13" max="16384" width="9.140625" style="16"/>
  </cols>
  <sheetData>
    <row r="1" spans="1:11" ht="47.25" customHeight="1" x14ac:dyDescent="0.25">
      <c r="A1" s="79" t="s">
        <v>0</v>
      </c>
      <c r="B1" s="80"/>
      <c r="C1" s="81"/>
      <c r="F1" s="42"/>
      <c r="G1" s="42"/>
      <c r="H1" s="49"/>
      <c r="I1" s="42"/>
      <c r="J1" s="42"/>
      <c r="K1" s="42"/>
    </row>
    <row r="2" spans="1:11" ht="25.5" customHeight="1" x14ac:dyDescent="0.25">
      <c r="A2" s="69" t="s">
        <v>1</v>
      </c>
      <c r="B2" s="70" t="s">
        <v>2</v>
      </c>
      <c r="C2" s="71" t="s">
        <v>3</v>
      </c>
      <c r="D2" s="58"/>
      <c r="E2" s="58"/>
      <c r="F2" s="42"/>
      <c r="G2" s="42"/>
      <c r="H2" s="49"/>
      <c r="I2" s="42"/>
      <c r="J2" s="42"/>
      <c r="K2" s="42"/>
    </row>
    <row r="3" spans="1:11" ht="42" customHeight="1" x14ac:dyDescent="0.25">
      <c r="A3" s="59" t="s">
        <v>4</v>
      </c>
      <c r="B3" s="73">
        <v>0.35</v>
      </c>
      <c r="C3" s="62" t="s">
        <v>5</v>
      </c>
      <c r="D3" s="42"/>
      <c r="E3" s="42"/>
      <c r="F3" s="42"/>
      <c r="G3" s="42"/>
      <c r="H3" s="42"/>
      <c r="I3" s="43"/>
      <c r="J3" s="42"/>
      <c r="K3" s="42"/>
    </row>
    <row r="4" spans="1:11" ht="60.75" customHeight="1" x14ac:dyDescent="0.25">
      <c r="A4" s="59" t="s">
        <v>6</v>
      </c>
      <c r="B4" s="73">
        <v>0.25</v>
      </c>
      <c r="C4" s="68" t="s">
        <v>7</v>
      </c>
      <c r="D4" s="44"/>
      <c r="G4" s="43"/>
      <c r="H4" s="43"/>
      <c r="I4" s="43"/>
      <c r="J4" s="43"/>
    </row>
    <row r="5" spans="1:11" ht="89.25" customHeight="1" x14ac:dyDescent="0.25">
      <c r="A5" s="59" t="s">
        <v>8</v>
      </c>
      <c r="B5" s="73">
        <v>0.3</v>
      </c>
      <c r="C5" s="60" t="s">
        <v>9</v>
      </c>
      <c r="G5" s="43"/>
      <c r="H5" s="43"/>
      <c r="I5" s="43"/>
      <c r="J5" s="43"/>
    </row>
    <row r="6" spans="1:11" ht="98.25" customHeight="1" x14ac:dyDescent="0.25">
      <c r="A6" s="59" t="s">
        <v>10</v>
      </c>
      <c r="B6" s="73">
        <v>0.1</v>
      </c>
      <c r="C6" s="62" t="s">
        <v>11</v>
      </c>
      <c r="G6" s="43"/>
      <c r="H6" s="43"/>
      <c r="I6" s="43"/>
      <c r="J6" s="43"/>
    </row>
    <row r="7" spans="1:11" ht="139.5" customHeight="1" x14ac:dyDescent="0.25">
      <c r="A7" s="61" t="s">
        <v>12</v>
      </c>
      <c r="B7" s="74"/>
      <c r="C7" s="72" t="s">
        <v>13</v>
      </c>
      <c r="G7" s="51"/>
      <c r="H7" s="43"/>
      <c r="I7" s="43"/>
      <c r="J7" s="43"/>
    </row>
    <row r="8" spans="1:11" ht="87" customHeight="1" x14ac:dyDescent="0.25">
      <c r="A8" s="50"/>
      <c r="B8" s="43"/>
      <c r="C8" s="43"/>
      <c r="D8" s="6"/>
      <c r="G8" s="43"/>
      <c r="H8" s="43"/>
      <c r="I8" s="43"/>
      <c r="J8" s="43"/>
    </row>
    <row r="9" spans="1:11" ht="88.5" customHeight="1" x14ac:dyDescent="0.25">
      <c r="A9" s="50"/>
      <c r="B9" s="43"/>
      <c r="C9" s="43"/>
      <c r="D9" s="6"/>
      <c r="G9" s="43"/>
      <c r="H9" s="43"/>
      <c r="I9" s="43"/>
      <c r="J9" s="43"/>
    </row>
    <row r="10" spans="1:11" ht="17.25" customHeight="1" x14ac:dyDescent="0.25">
      <c r="A10" s="50"/>
      <c r="B10" s="42"/>
      <c r="C10" s="42"/>
      <c r="D10" s="42"/>
      <c r="E10" s="42"/>
      <c r="F10" s="42"/>
      <c r="G10" s="42"/>
      <c r="H10" s="49"/>
      <c r="I10" s="42"/>
      <c r="J10" s="42"/>
      <c r="K10" s="42"/>
    </row>
    <row r="11" spans="1:11" ht="54.75" customHeight="1" x14ac:dyDescent="0.25">
      <c r="A11" s="50"/>
      <c r="B11" s="43"/>
      <c r="C11" s="43"/>
      <c r="D11" s="42"/>
      <c r="E11" s="42"/>
      <c r="F11" s="42"/>
      <c r="G11" s="43"/>
      <c r="H11" s="52"/>
      <c r="I11" s="42"/>
      <c r="J11" s="43"/>
      <c r="K11" s="42"/>
    </row>
    <row r="12" spans="1:11" ht="59.25" customHeight="1" x14ac:dyDescent="0.25">
      <c r="A12" s="50"/>
      <c r="B12" s="43"/>
      <c r="C12" s="43"/>
      <c r="D12" s="43"/>
      <c r="E12" s="43"/>
      <c r="F12" s="43"/>
      <c r="G12" s="43"/>
      <c r="H12" s="43"/>
      <c r="I12" s="43"/>
      <c r="J12" s="43"/>
      <c r="K12" s="43"/>
    </row>
    <row r="13" spans="1:11" ht="50.25" customHeight="1" x14ac:dyDescent="0.25">
      <c r="A13" s="50"/>
      <c r="B13" s="43"/>
      <c r="C13" s="43"/>
      <c r="D13" s="43"/>
      <c r="E13" s="43"/>
      <c r="F13" s="43"/>
      <c r="G13" s="43"/>
      <c r="H13" s="43"/>
      <c r="I13" s="43"/>
      <c r="J13" s="43"/>
      <c r="K13" s="43"/>
    </row>
    <row r="14" spans="1:11" x14ac:dyDescent="0.25">
      <c r="A14" s="50"/>
      <c r="B14" s="43"/>
      <c r="C14" s="43"/>
      <c r="D14" s="43"/>
      <c r="E14" s="43"/>
      <c r="F14" s="43"/>
      <c r="G14" s="43"/>
      <c r="H14" s="43"/>
      <c r="I14" s="43"/>
      <c r="J14" s="43"/>
      <c r="K14" s="43"/>
    </row>
    <row r="15" spans="1:11" ht="37.5" customHeight="1" x14ac:dyDescent="0.25">
      <c r="A15" s="50"/>
      <c r="B15" s="43"/>
      <c r="C15" s="43"/>
      <c r="G15" s="43"/>
      <c r="H15" s="43"/>
      <c r="J15" s="43"/>
    </row>
    <row r="16" spans="1:11" ht="37.5" customHeight="1" x14ac:dyDescent="0.25">
      <c r="A16" s="50"/>
      <c r="B16" s="43"/>
      <c r="C16" s="43"/>
      <c r="G16" s="43"/>
      <c r="H16" s="43"/>
      <c r="J16" s="43"/>
    </row>
    <row r="17" spans="1:11" ht="51.75" customHeight="1" x14ac:dyDescent="0.25">
      <c r="A17" s="50"/>
      <c r="B17" s="43"/>
      <c r="C17" s="43"/>
      <c r="D17" s="43"/>
      <c r="E17" s="43"/>
      <c r="F17" s="43"/>
      <c r="G17" s="43"/>
      <c r="H17" s="52"/>
      <c r="I17" s="43"/>
      <c r="J17" s="43"/>
      <c r="K17" s="43"/>
    </row>
    <row r="18" spans="1:11" x14ac:dyDescent="0.25">
      <c r="A18" s="49"/>
      <c r="B18" s="53"/>
      <c r="C18" s="53"/>
      <c r="D18" s="53"/>
      <c r="E18" s="53"/>
      <c r="F18" s="53"/>
      <c r="G18" s="53"/>
      <c r="H18" s="49"/>
      <c r="J18" s="42"/>
    </row>
    <row r="19" spans="1:11" ht="81.75" customHeight="1" x14ac:dyDescent="0.25">
      <c r="A19" s="49"/>
      <c r="B19" s="43"/>
      <c r="C19" s="43"/>
      <c r="G19" s="43"/>
      <c r="H19" s="43"/>
      <c r="J19" s="43"/>
    </row>
    <row r="20" spans="1:11" ht="66.75" customHeight="1" x14ac:dyDescent="0.25">
      <c r="A20" s="49"/>
      <c r="B20" s="43"/>
      <c r="C20" s="43"/>
      <c r="G20" s="43"/>
      <c r="H20" s="43"/>
      <c r="J20" s="43"/>
    </row>
    <row r="21" spans="1:11" ht="78" customHeight="1" x14ac:dyDescent="0.25">
      <c r="A21" s="49"/>
      <c r="B21" s="43"/>
      <c r="C21" s="43"/>
      <c r="G21" s="43"/>
      <c r="H21" s="43"/>
      <c r="J21" s="43"/>
    </row>
    <row r="22" spans="1:11" ht="78" customHeight="1" x14ac:dyDescent="0.25">
      <c r="A22" s="49"/>
      <c r="B22" s="43"/>
      <c r="C22" s="43"/>
      <c r="G22" s="43"/>
      <c r="H22" s="43"/>
      <c r="J22" s="43"/>
    </row>
    <row r="23" spans="1:11" ht="15" customHeight="1" x14ac:dyDescent="0.25">
      <c r="A23" s="49"/>
      <c r="B23" s="50"/>
      <c r="C23" s="50"/>
      <c r="D23" s="50"/>
      <c r="E23" s="50"/>
      <c r="F23" s="50"/>
      <c r="G23" s="50"/>
      <c r="H23" s="42"/>
      <c r="J23" s="42"/>
    </row>
    <row r="24" spans="1:11" ht="42" customHeight="1" x14ac:dyDescent="0.25">
      <c r="A24" s="49"/>
      <c r="B24" s="43"/>
      <c r="C24" s="43"/>
      <c r="G24" s="43"/>
      <c r="H24" s="43"/>
      <c r="J24" s="43"/>
    </row>
    <row r="25" spans="1:11" ht="62.25" customHeight="1" x14ac:dyDescent="0.25">
      <c r="A25" s="49"/>
      <c r="B25" s="43"/>
      <c r="C25" s="43"/>
      <c r="G25" s="43"/>
      <c r="H25" s="43"/>
      <c r="J25" s="43"/>
    </row>
    <row r="26" spans="1:11" ht="63.75" customHeight="1" x14ac:dyDescent="0.25">
      <c r="A26" s="49"/>
      <c r="B26" s="43"/>
      <c r="C26" s="43"/>
      <c r="G26" s="54"/>
      <c r="H26" s="43"/>
      <c r="J26" s="43"/>
    </row>
    <row r="27" spans="1:11" x14ac:dyDescent="0.25">
      <c r="A27" s="49"/>
      <c r="B27" s="49"/>
      <c r="C27" s="49"/>
      <c r="D27" s="49"/>
      <c r="E27" s="49"/>
      <c r="F27" s="49"/>
      <c r="G27" s="49"/>
      <c r="H27" s="49"/>
      <c r="I27" s="55"/>
      <c r="J27" s="56"/>
    </row>
    <row r="33" spans="2:6" x14ac:dyDescent="0.25">
      <c r="C33" s="43"/>
      <c r="D33" s="6"/>
    </row>
    <row r="43" spans="2:6" x14ac:dyDescent="0.25">
      <c r="B43" s="57"/>
      <c r="C43" s="43"/>
      <c r="D43" s="43"/>
      <c r="E43" s="43"/>
      <c r="F43" s="43"/>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2"/>
  <sheetViews>
    <sheetView topLeftCell="A3" workbookViewId="0">
      <selection activeCell="K4" sqref="K4"/>
    </sheetView>
  </sheetViews>
  <sheetFormatPr defaultColWidth="9.140625" defaultRowHeight="15" x14ac:dyDescent="0.25"/>
  <cols>
    <col min="1" max="1" width="25.28515625" style="16" customWidth="1"/>
    <col min="2" max="2" width="9.140625" style="16" bestFit="1" customWidth="1"/>
    <col min="3" max="3" width="20.7109375" style="16" customWidth="1"/>
    <col min="4" max="4" width="19.140625" style="16" customWidth="1"/>
    <col min="5" max="5" width="17" style="16" customWidth="1"/>
    <col min="6" max="6" width="16.140625" style="16" customWidth="1"/>
    <col min="7" max="7" width="87" style="16" customWidth="1"/>
    <col min="8" max="8" width="11.5703125" style="16" customWidth="1"/>
    <col min="9" max="9" width="9.140625" style="16" bestFit="1" customWidth="1"/>
    <col min="10" max="10" width="15.85546875" style="16" customWidth="1"/>
    <col min="11" max="11" width="110" style="16" customWidth="1"/>
    <col min="12" max="12" width="9.140625" style="16" customWidth="1"/>
    <col min="13" max="16384" width="9.140625" style="16"/>
  </cols>
  <sheetData>
    <row r="1" spans="1:11" x14ac:dyDescent="0.25">
      <c r="A1" s="12"/>
      <c r="B1" s="13" t="s">
        <v>14</v>
      </c>
      <c r="C1" s="13" t="s">
        <v>15</v>
      </c>
      <c r="D1" s="13" t="s">
        <v>16</v>
      </c>
      <c r="E1" s="13" t="s">
        <v>17</v>
      </c>
      <c r="F1" s="13" t="s">
        <v>18</v>
      </c>
      <c r="G1" s="13" t="s">
        <v>19</v>
      </c>
      <c r="H1" s="14" t="s">
        <v>20</v>
      </c>
      <c r="I1" s="13" t="s">
        <v>21</v>
      </c>
      <c r="J1" s="13" t="s">
        <v>22</v>
      </c>
      <c r="K1" s="15" t="s">
        <v>23</v>
      </c>
    </row>
    <row r="2" spans="1:11" x14ac:dyDescent="0.25">
      <c r="A2" s="91" t="s">
        <v>4</v>
      </c>
      <c r="B2" s="82" t="s">
        <v>24</v>
      </c>
      <c r="C2" s="83"/>
      <c r="D2" s="83"/>
      <c r="E2" s="83"/>
      <c r="F2" s="83"/>
      <c r="G2" s="84"/>
      <c r="H2" s="17">
        <f>SUM(H3:H8)</f>
        <v>35</v>
      </c>
      <c r="I2" s="11"/>
      <c r="J2" s="17">
        <f>SUM(J3:J8)</f>
        <v>12.5</v>
      </c>
      <c r="K2" s="18"/>
    </row>
    <row r="3" spans="1:11" ht="77.25" customHeight="1" x14ac:dyDescent="0.25">
      <c r="A3" s="92"/>
      <c r="B3" s="19" t="s">
        <v>25</v>
      </c>
      <c r="C3" s="7" t="s">
        <v>26</v>
      </c>
      <c r="D3" s="37"/>
      <c r="E3" s="20"/>
      <c r="F3" s="20"/>
      <c r="G3" s="8" t="s">
        <v>27</v>
      </c>
      <c r="H3" s="8">
        <v>4</v>
      </c>
      <c r="I3" s="75">
        <v>7</v>
      </c>
      <c r="J3" s="8">
        <f t="shared" ref="J3:J8" si="0">H3*I3/10</f>
        <v>2.8</v>
      </c>
      <c r="K3" s="76" t="s">
        <v>28</v>
      </c>
    </row>
    <row r="4" spans="1:11" ht="81.75" customHeight="1" x14ac:dyDescent="0.25">
      <c r="A4" s="92"/>
      <c r="B4" s="21" t="s">
        <v>29</v>
      </c>
      <c r="C4" s="4" t="s">
        <v>30</v>
      </c>
      <c r="D4" s="22"/>
      <c r="E4" s="22"/>
      <c r="F4" s="22"/>
      <c r="G4" s="1" t="s">
        <v>31</v>
      </c>
      <c r="H4" s="1">
        <v>10</v>
      </c>
      <c r="I4" s="77">
        <v>7</v>
      </c>
      <c r="J4" s="8">
        <f t="shared" si="0"/>
        <v>7</v>
      </c>
      <c r="K4" s="78" t="s">
        <v>32</v>
      </c>
    </row>
    <row r="5" spans="1:11" ht="69" customHeight="1" x14ac:dyDescent="0.25">
      <c r="A5" s="92"/>
      <c r="B5" s="21" t="s">
        <v>33</v>
      </c>
      <c r="C5" s="4" t="s">
        <v>8</v>
      </c>
      <c r="D5" s="22"/>
      <c r="E5" s="22"/>
      <c r="F5" s="22"/>
      <c r="G5" s="1" t="s">
        <v>34</v>
      </c>
      <c r="H5" s="1">
        <v>3</v>
      </c>
      <c r="I5" s="77">
        <v>9</v>
      </c>
      <c r="J5" s="8">
        <f t="shared" si="0"/>
        <v>2.7</v>
      </c>
      <c r="K5" s="78" t="s">
        <v>35</v>
      </c>
    </row>
    <row r="6" spans="1:11" ht="139.5" customHeight="1" x14ac:dyDescent="0.25">
      <c r="A6" s="92"/>
      <c r="B6" s="21" t="s">
        <v>36</v>
      </c>
      <c r="C6" s="4" t="s">
        <v>37</v>
      </c>
      <c r="D6" s="22"/>
      <c r="E6" s="22"/>
      <c r="F6" s="22"/>
      <c r="G6" s="1" t="s">
        <v>38</v>
      </c>
      <c r="H6" s="1">
        <v>10</v>
      </c>
      <c r="I6" s="1"/>
      <c r="J6" s="8">
        <f t="shared" si="0"/>
        <v>0</v>
      </c>
      <c r="K6" s="23"/>
    </row>
    <row r="7" spans="1:11" ht="87" customHeight="1" x14ac:dyDescent="0.25">
      <c r="A7" s="92"/>
      <c r="B7" s="21" t="s">
        <v>39</v>
      </c>
      <c r="C7" s="4" t="s">
        <v>40</v>
      </c>
      <c r="D7" s="3"/>
      <c r="E7" s="22"/>
      <c r="F7" s="22"/>
      <c r="G7" s="1" t="s">
        <v>41</v>
      </c>
      <c r="H7" s="1">
        <v>4</v>
      </c>
      <c r="I7" s="1"/>
      <c r="J7" s="8">
        <f t="shared" si="0"/>
        <v>0</v>
      </c>
      <c r="K7" s="23"/>
    </row>
    <row r="8" spans="1:11" ht="88.5" customHeight="1" x14ac:dyDescent="0.25">
      <c r="A8" s="93"/>
      <c r="B8" s="24" t="s">
        <v>42</v>
      </c>
      <c r="C8" s="9" t="s">
        <v>43</v>
      </c>
      <c r="D8" s="10"/>
      <c r="E8" s="25"/>
      <c r="F8" s="25"/>
      <c r="G8" s="26" t="s">
        <v>44</v>
      </c>
      <c r="H8" s="26">
        <v>4</v>
      </c>
      <c r="I8" s="26"/>
      <c r="J8" s="27">
        <f t="shared" si="0"/>
        <v>0</v>
      </c>
      <c r="K8" s="28"/>
    </row>
    <row r="9" spans="1:11" ht="17.25" customHeight="1" x14ac:dyDescent="0.25">
      <c r="A9" s="94"/>
      <c r="B9" s="89"/>
      <c r="C9" s="86"/>
      <c r="D9" s="86"/>
      <c r="E9" s="86"/>
      <c r="F9" s="86"/>
      <c r="G9" s="86"/>
      <c r="H9" s="40"/>
      <c r="I9" s="39"/>
      <c r="J9" s="39"/>
      <c r="K9" s="42"/>
    </row>
    <row r="10" spans="1:11" ht="54.75" customHeight="1" x14ac:dyDescent="0.25">
      <c r="A10" s="86"/>
      <c r="B10" s="5"/>
      <c r="C10" s="45"/>
      <c r="D10" s="41"/>
      <c r="E10" s="41"/>
      <c r="F10" s="41"/>
      <c r="G10" s="5"/>
      <c r="H10" s="46"/>
      <c r="I10" s="39"/>
      <c r="J10" s="5"/>
      <c r="K10" s="42"/>
    </row>
    <row r="11" spans="1:11" ht="59.25" customHeight="1" x14ac:dyDescent="0.25">
      <c r="A11" s="86"/>
      <c r="B11" s="5"/>
      <c r="C11" s="43"/>
      <c r="D11" s="5"/>
      <c r="E11" s="5"/>
      <c r="F11" s="5"/>
      <c r="G11" s="5"/>
      <c r="H11" s="5"/>
      <c r="I11" s="5"/>
      <c r="J11" s="5"/>
      <c r="K11" s="5"/>
    </row>
    <row r="12" spans="1:11" ht="50.25" customHeight="1" x14ac:dyDescent="0.25">
      <c r="A12" s="86"/>
      <c r="B12" s="5"/>
      <c r="C12" s="43"/>
      <c r="D12" s="5"/>
      <c r="E12" s="5"/>
      <c r="F12" s="5"/>
      <c r="G12" s="5"/>
      <c r="H12" s="5"/>
      <c r="I12" s="5"/>
      <c r="J12" s="5"/>
      <c r="K12" s="5"/>
    </row>
    <row r="13" spans="1:11" x14ac:dyDescent="0.25">
      <c r="A13" s="86"/>
      <c r="B13" s="5"/>
      <c r="C13" s="43"/>
      <c r="D13" s="5"/>
      <c r="E13" s="5"/>
      <c r="F13" s="5"/>
      <c r="G13" s="5"/>
      <c r="H13" s="5"/>
      <c r="I13" s="5"/>
      <c r="J13" s="5"/>
      <c r="K13" s="5"/>
    </row>
    <row r="14" spans="1:11" ht="37.5" customHeight="1" x14ac:dyDescent="0.25">
      <c r="A14" s="86"/>
      <c r="B14" s="5"/>
      <c r="C14" s="43"/>
      <c r="G14" s="5"/>
      <c r="H14" s="5"/>
      <c r="J14" s="5"/>
    </row>
    <row r="15" spans="1:11" ht="37.5" customHeight="1" x14ac:dyDescent="0.25">
      <c r="A15" s="86"/>
      <c r="B15" s="5"/>
      <c r="C15" s="43"/>
      <c r="G15" s="5"/>
      <c r="H15" s="5"/>
      <c r="J15" s="5"/>
    </row>
    <row r="16" spans="1:11" ht="51.75" customHeight="1" x14ac:dyDescent="0.25">
      <c r="A16" s="86"/>
      <c r="B16" s="5"/>
      <c r="C16" s="45"/>
      <c r="D16" s="45"/>
      <c r="E16" s="45"/>
      <c r="F16" s="45"/>
      <c r="G16" s="5"/>
      <c r="H16" s="46"/>
      <c r="I16" s="5"/>
      <c r="J16" s="5"/>
      <c r="K16" s="43"/>
    </row>
    <row r="17" spans="1:10" x14ac:dyDescent="0.25">
      <c r="A17" s="85"/>
      <c r="B17" s="88"/>
      <c r="C17" s="86"/>
      <c r="D17" s="86"/>
      <c r="E17" s="86"/>
      <c r="F17" s="86"/>
      <c r="G17" s="86"/>
      <c r="H17" s="40"/>
      <c r="J17" s="39"/>
    </row>
    <row r="18" spans="1:10" ht="81.75" customHeight="1" x14ac:dyDescent="0.25">
      <c r="A18" s="86"/>
      <c r="B18" s="5"/>
      <c r="C18" s="45"/>
      <c r="G18" s="5"/>
      <c r="H18" s="5"/>
      <c r="J18" s="5"/>
    </row>
    <row r="19" spans="1:10" ht="66.75" customHeight="1" x14ac:dyDescent="0.25">
      <c r="A19" s="86"/>
      <c r="B19" s="5"/>
      <c r="C19" s="45"/>
      <c r="G19" s="5"/>
      <c r="H19" s="5"/>
      <c r="J19" s="5"/>
    </row>
    <row r="20" spans="1:10" ht="78" customHeight="1" x14ac:dyDescent="0.25">
      <c r="A20" s="86"/>
      <c r="B20" s="5"/>
      <c r="C20" s="45"/>
      <c r="G20" s="5"/>
      <c r="H20" s="5"/>
      <c r="J20" s="5"/>
    </row>
    <row r="21" spans="1:10" ht="78" customHeight="1" x14ac:dyDescent="0.25">
      <c r="A21" s="86"/>
      <c r="B21" s="5"/>
      <c r="C21" s="45"/>
      <c r="G21" s="5"/>
      <c r="H21" s="5"/>
      <c r="J21" s="5"/>
    </row>
    <row r="22" spans="1:10" ht="15" customHeight="1" x14ac:dyDescent="0.25">
      <c r="A22" s="85"/>
      <c r="B22" s="87"/>
      <c r="C22" s="86"/>
      <c r="D22" s="86"/>
      <c r="E22" s="86"/>
      <c r="F22" s="86"/>
      <c r="G22" s="86"/>
      <c r="H22" s="39"/>
      <c r="J22" s="39"/>
    </row>
    <row r="23" spans="1:10" ht="42" customHeight="1" x14ac:dyDescent="0.25">
      <c r="A23" s="86"/>
      <c r="B23" s="5"/>
      <c r="C23" s="45"/>
      <c r="G23" s="5"/>
      <c r="H23" s="5"/>
      <c r="J23" s="5"/>
    </row>
    <row r="24" spans="1:10" ht="62.25" customHeight="1" x14ac:dyDescent="0.25">
      <c r="A24" s="86"/>
      <c r="B24" s="5"/>
      <c r="C24" s="45"/>
      <c r="G24" s="5"/>
      <c r="H24" s="5"/>
      <c r="J24" s="5"/>
    </row>
    <row r="25" spans="1:10" ht="63.75" customHeight="1" x14ac:dyDescent="0.25">
      <c r="A25" s="86"/>
      <c r="B25" s="5"/>
      <c r="C25" s="45"/>
      <c r="G25" s="63"/>
      <c r="H25" s="5"/>
      <c r="J25" s="5"/>
    </row>
    <row r="26" spans="1:10" x14ac:dyDescent="0.25">
      <c r="A26" s="90"/>
      <c r="B26" s="86"/>
      <c r="C26" s="86"/>
      <c r="D26" s="86"/>
      <c r="E26" s="86"/>
      <c r="F26" s="86"/>
      <c r="G26" s="86"/>
      <c r="H26" s="40"/>
      <c r="I26" s="47"/>
      <c r="J26" s="48"/>
    </row>
    <row r="32" spans="1:10" x14ac:dyDescent="0.25">
      <c r="C32" s="5"/>
      <c r="D32" s="6"/>
    </row>
    <row r="42" spans="2:6" x14ac:dyDescent="0.25">
      <c r="B42" s="38"/>
      <c r="C42" s="5"/>
      <c r="D42" s="5"/>
      <c r="E42" s="5"/>
      <c r="F42" s="5"/>
    </row>
  </sheetData>
  <mergeCells count="9">
    <mergeCell ref="A26:G26"/>
    <mergeCell ref="A2:A8"/>
    <mergeCell ref="A9:A16"/>
    <mergeCell ref="A22:A25"/>
    <mergeCell ref="B2:G2"/>
    <mergeCell ref="A17:A21"/>
    <mergeCell ref="B22:G22"/>
    <mergeCell ref="B17:G17"/>
    <mergeCell ref="B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5"/>
  <sheetViews>
    <sheetView tabSelected="1" workbookViewId="0">
      <selection activeCell="G3" sqref="G3"/>
    </sheetView>
  </sheetViews>
  <sheetFormatPr defaultColWidth="9.140625" defaultRowHeight="15" x14ac:dyDescent="0.25"/>
  <cols>
    <col min="1" max="1" width="25.28515625" style="16" customWidth="1"/>
    <col min="2" max="2" width="9.140625" style="16" bestFit="1" customWidth="1"/>
    <col min="3" max="3" width="20.7109375" style="16" customWidth="1"/>
    <col min="4" max="4" width="19.140625" style="16" customWidth="1"/>
    <col min="5" max="5" width="17" style="16" customWidth="1"/>
    <col min="6" max="6" width="16.140625" style="16" customWidth="1"/>
    <col min="7" max="7" width="87" style="16" customWidth="1"/>
    <col min="8" max="8" width="11.5703125" style="16" customWidth="1"/>
    <col min="9" max="9" width="9.140625" style="16" bestFit="1" customWidth="1"/>
    <col min="10" max="10" width="15.85546875" style="16" customWidth="1"/>
    <col min="11" max="11" width="40.140625" style="16" customWidth="1"/>
    <col min="12" max="12" width="9.140625" style="16" customWidth="1"/>
    <col min="13" max="16384" width="9.140625" style="16"/>
  </cols>
  <sheetData>
    <row r="1" spans="1:11" x14ac:dyDescent="0.25">
      <c r="A1" s="12"/>
      <c r="B1" s="13" t="s">
        <v>14</v>
      </c>
      <c r="C1" s="13" t="s">
        <v>15</v>
      </c>
      <c r="D1" s="13" t="s">
        <v>16</v>
      </c>
      <c r="E1" s="13" t="s">
        <v>17</v>
      </c>
      <c r="F1" s="13" t="s">
        <v>18</v>
      </c>
      <c r="G1" s="13" t="s">
        <v>19</v>
      </c>
      <c r="H1" s="14" t="s">
        <v>20</v>
      </c>
      <c r="I1" s="13" t="s">
        <v>21</v>
      </c>
      <c r="J1" s="13" t="s">
        <v>22</v>
      </c>
      <c r="K1" s="15" t="s">
        <v>23</v>
      </c>
    </row>
    <row r="2" spans="1:11" ht="17.25" customHeight="1" x14ac:dyDescent="0.25">
      <c r="A2" s="91" t="s">
        <v>6</v>
      </c>
      <c r="B2" s="95" t="s">
        <v>24</v>
      </c>
      <c r="C2" s="83"/>
      <c r="D2" s="83"/>
      <c r="E2" s="83"/>
      <c r="F2" s="83"/>
      <c r="G2" s="84"/>
      <c r="H2" s="29">
        <f>SUM(H3:H9)</f>
        <v>25</v>
      </c>
      <c r="I2" s="17"/>
      <c r="J2" s="17">
        <f>SUM(J4:J8)</f>
        <v>0</v>
      </c>
      <c r="K2" s="18"/>
    </row>
    <row r="3" spans="1:11" ht="54.75" customHeight="1" x14ac:dyDescent="0.25">
      <c r="A3" s="92"/>
      <c r="B3" s="34" t="s">
        <v>45</v>
      </c>
      <c r="C3" s="35" t="s">
        <v>46</v>
      </c>
      <c r="D3" s="31"/>
      <c r="E3" s="31"/>
      <c r="F3" s="31"/>
      <c r="G3" s="30" t="s">
        <v>47</v>
      </c>
      <c r="H3" s="36">
        <v>2</v>
      </c>
      <c r="I3" s="32"/>
      <c r="J3" s="8"/>
      <c r="K3" s="33"/>
    </row>
    <row r="4" spans="1:11" ht="59.25" customHeight="1" x14ac:dyDescent="0.25">
      <c r="A4" s="92"/>
      <c r="B4" s="21" t="s">
        <v>48</v>
      </c>
      <c r="C4" s="4" t="s">
        <v>49</v>
      </c>
      <c r="D4" s="1"/>
      <c r="E4" s="1"/>
      <c r="F4" s="1"/>
      <c r="G4" s="1" t="s">
        <v>50</v>
      </c>
      <c r="H4" s="1">
        <v>4</v>
      </c>
      <c r="I4" s="1"/>
      <c r="J4" s="8">
        <f t="shared" ref="J4:J9" si="0">H4*I4/10</f>
        <v>0</v>
      </c>
      <c r="K4" s="2"/>
    </row>
    <row r="5" spans="1:11" ht="50.25" customHeight="1" x14ac:dyDescent="0.25">
      <c r="A5" s="92"/>
      <c r="B5" s="21" t="s">
        <v>51</v>
      </c>
      <c r="C5" s="4" t="s">
        <v>52</v>
      </c>
      <c r="D5" s="1"/>
      <c r="E5" s="1"/>
      <c r="F5" s="1"/>
      <c r="G5" s="1" t="s">
        <v>53</v>
      </c>
      <c r="H5" s="1">
        <v>4</v>
      </c>
      <c r="I5" s="1"/>
      <c r="J5" s="8">
        <f t="shared" si="0"/>
        <v>0</v>
      </c>
      <c r="K5" s="2"/>
    </row>
    <row r="6" spans="1:11" ht="29.25" customHeight="1" x14ac:dyDescent="0.25">
      <c r="A6" s="92"/>
      <c r="B6" s="21" t="s">
        <v>54</v>
      </c>
      <c r="C6" s="4" t="s">
        <v>55</v>
      </c>
      <c r="D6" s="1"/>
      <c r="E6" s="1"/>
      <c r="F6" s="1"/>
      <c r="G6" s="1" t="s">
        <v>56</v>
      </c>
      <c r="H6" s="1">
        <v>3</v>
      </c>
      <c r="I6" s="1"/>
      <c r="J6" s="8">
        <f t="shared" si="0"/>
        <v>0</v>
      </c>
      <c r="K6" s="2"/>
    </row>
    <row r="7" spans="1:11" ht="37.5" customHeight="1" x14ac:dyDescent="0.25">
      <c r="A7" s="92"/>
      <c r="B7" s="21" t="s">
        <v>57</v>
      </c>
      <c r="C7" s="4" t="s">
        <v>58</v>
      </c>
      <c r="D7" s="22"/>
      <c r="E7" s="22"/>
      <c r="F7" s="22"/>
      <c r="G7" s="1" t="s">
        <v>59</v>
      </c>
      <c r="H7" s="1">
        <v>4</v>
      </c>
      <c r="I7" s="22"/>
      <c r="J7" s="8">
        <f t="shared" si="0"/>
        <v>0</v>
      </c>
      <c r="K7" s="23"/>
    </row>
    <row r="8" spans="1:11" ht="37.5" customHeight="1" x14ac:dyDescent="0.25">
      <c r="A8" s="92"/>
      <c r="B8" s="21" t="s">
        <v>60</v>
      </c>
      <c r="C8" s="4" t="s">
        <v>61</v>
      </c>
      <c r="D8" s="22"/>
      <c r="E8" s="22"/>
      <c r="F8" s="22"/>
      <c r="G8" s="1" t="s">
        <v>62</v>
      </c>
      <c r="H8" s="1">
        <v>3</v>
      </c>
      <c r="I8" s="22"/>
      <c r="J8" s="8">
        <f t="shared" si="0"/>
        <v>0</v>
      </c>
      <c r="K8" s="23"/>
    </row>
    <row r="9" spans="1:11" ht="51.75" customHeight="1" x14ac:dyDescent="0.25">
      <c r="A9" s="93"/>
      <c r="B9" s="64" t="s">
        <v>63</v>
      </c>
      <c r="C9" s="65" t="s">
        <v>64</v>
      </c>
      <c r="D9" s="65"/>
      <c r="E9" s="65"/>
      <c r="F9" s="65"/>
      <c r="G9" s="27" t="s">
        <v>65</v>
      </c>
      <c r="H9" s="66">
        <v>5</v>
      </c>
      <c r="I9" s="27"/>
      <c r="J9" s="27">
        <f t="shared" si="0"/>
        <v>0</v>
      </c>
      <c r="K9" s="67"/>
    </row>
    <row r="15" spans="1:11" x14ac:dyDescent="0.25">
      <c r="C15" s="5"/>
      <c r="D15" s="6"/>
    </row>
    <row r="25" spans="2:6" x14ac:dyDescent="0.25">
      <c r="B25" s="38"/>
      <c r="C25" s="5"/>
      <c r="D25" s="5"/>
      <c r="E25" s="5"/>
      <c r="F25" s="5"/>
    </row>
  </sheetData>
  <mergeCells count="2">
    <mergeCell ref="A2:A9"/>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Rubric_Explanation</vt:lpstr>
      <vt:lpstr>Rubric_ShortPaper</vt:lpstr>
      <vt:lpstr>Rubric_PosterandPitch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Rick de Rijk</cp:lastModifiedBy>
  <dcterms:created xsi:type="dcterms:W3CDTF">2024-05-27T05:32:57Z</dcterms:created>
  <dcterms:modified xsi:type="dcterms:W3CDTF">2026-10-31T15:06:13Z</dcterms:modified>
</cp:coreProperties>
</file>