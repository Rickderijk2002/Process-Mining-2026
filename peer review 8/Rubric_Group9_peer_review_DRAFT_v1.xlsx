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ycho\Downloads\"/>
    </mc:Choice>
  </mc:AlternateContent>
  <xr:revisionPtr revIDLastSave="0" documentId="13_ncr:1_{517A9989-8E34-4433-B90B-F9215369B945}" xr6:coauthVersionLast="47" xr6:coauthVersionMax="47" xr10:uidLastSave="{00000000-0000-0000-0000-000000000000}"/>
  <bookViews>
    <workbookView xWindow="-120" yWindow="-120" windowWidth="29040" windowHeight="15720" tabRatio="500" activeTab="1" xr2:uid="{00000000-000D-0000-FFFF-FFFF00000000}"/>
  </bookViews>
  <sheets>
    <sheet name="Rubric_Explanation" sheetId="1" r:id="rId1"/>
    <sheet name="Rubric_ShortPaper" sheetId="2" r:id="rId2"/>
    <sheet name="Rubric_PosterandPitch"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 i="2" l="1"/>
  <c r="J9" i="3"/>
  <c r="J8" i="3"/>
  <c r="J7" i="3"/>
  <c r="J6" i="3"/>
  <c r="J5" i="3"/>
  <c r="J4" i="3"/>
  <c r="J2" i="3" s="1"/>
  <c r="H2" i="3"/>
  <c r="J8" i="2"/>
  <c r="J7" i="2"/>
  <c r="J2" i="2" s="1"/>
  <c r="J5" i="2"/>
  <c r="J4" i="2"/>
  <c r="J3" i="2"/>
  <c r="H2" i="2"/>
</calcChain>
</file>

<file path=xl/sharedStrings.xml><?xml version="1.0" encoding="utf-8"?>
<sst xmlns="http://schemas.openxmlformats.org/spreadsheetml/2006/main" count="83" uniqueCount="69">
  <si>
    <t xml:space="preserve">The assignment contributes 30% to the final course grade and consists of multiple deliverables which contribute to the overall assignment grade as follows. </t>
  </si>
  <si>
    <t>Deliverable</t>
  </si>
  <si>
    <t>Percentage</t>
  </si>
  <si>
    <t>Remarks</t>
  </si>
  <si>
    <t>Short Paper</t>
  </si>
  <si>
    <t>detailed rubric see sheet Rubric_ShortPaper (use this for peer-review; S3 can only be partially checked as you do not have access to the implementation)</t>
  </si>
  <si>
    <t>Poster and Pitch</t>
  </si>
  <si>
    <t xml:space="preserve">detailed rubric see sheet Rubric_PosterandPitch  (use this for peer-review; P1 can only be partially checked as you do not have access to the short paper) </t>
  </si>
  <si>
    <t>Implementation</t>
  </si>
  <si>
    <t>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</si>
  <si>
    <t>Peer-reviews</t>
  </si>
  <si>
    <t>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</si>
  <si>
    <t>Technology Statement</t>
  </si>
  <si>
    <t>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</si>
  <si>
    <t>ID</t>
  </si>
  <si>
    <t>Item</t>
  </si>
  <si>
    <t>Insufficient (1-5)</t>
  </si>
  <si>
    <t>Sufficient (6)</t>
  </si>
  <si>
    <t>Good (7-8)</t>
  </si>
  <si>
    <t>Very Good (9-10)</t>
  </si>
  <si>
    <t>Max. Points</t>
  </si>
  <si>
    <t>Grade</t>
  </si>
  <si>
    <t>Achieved Points</t>
  </si>
  <si>
    <t>Explanation/Feedback</t>
  </si>
  <si>
    <t>Overall</t>
  </si>
  <si>
    <t>S1</t>
  </si>
  <si>
    <t>Motivation and Scientific Background</t>
  </si>
  <si>
    <t>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</si>
  <si>
    <t>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</si>
  <si>
    <t>S2</t>
  </si>
  <si>
    <t>Conceptual Approach</t>
  </si>
  <si>
    <t>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</si>
  <si>
    <t>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Section 2.2 lists the parameter values (g = 5, k from 15 to 35, BIC, minPoints = 4, epsilon = 0.125, threshold 0.5) but not their purpose, which the rubric explicitly asks for. Explain what g = 5 does (prefixes are cut at lengths 1, 6, 11, 16 and 21 instead of at every event, which sets the number of training prefixes and the points on your F1 curves, and why 21 is the limit), why k is chosen by BIC (more clusters always fit better, BIC balances fit against the number of parameters, so the lowest BIC picks k without overfitting), what epsilon and minPoints control in DBSCAN, and why a threshold of 0.5. (2) Section 2.3 is longer than 2.2, but it has a lot to cover for its length (five models, two clustering methods, two encodings, three prompt versions, JEV) and it names key terms without defining them: last-state encoding (a prefix is described only by the attributes of its last event), sequential encoding (the prefix written out as an ordered text list of activities with days since the start, for the LLM), and the frequency encoding used for clustering, which only appears in 3.2.1. The reader only learns what these mean in Section 3. Define each term in one sentence in Section 2 and say why it was chosen.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</si>
  <si>
    <t>S3</t>
  </si>
  <si>
    <t xml:space="preserve">Relevant implementation details are provided to complement the description of the conceptual approach in order to ensure reproducibility. This description matches the actual implementation. Note that the implementation as such is graded separately. </t>
  </si>
  <si>
    <t>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State that JEV is a hosted API reached through typesafe-sdk, that an API key is required and where to get it, roughly what a full run costs, and whether the pinned model version (jev-1.13.0) stays available, since all of this limits reproducibility for others. (4) Clarify typesafe-sdk 0.7.4 (package) versus jev-1.13.0 (model version) in one line. (5) Small typo in 3.3: 'removed form all cases'.</t>
  </si>
  <si>
    <t>S4</t>
  </si>
  <si>
    <t>Evaluation Design and Results</t>
  </si>
  <si>
    <t>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</si>
  <si>
    <t>S5</t>
  </si>
  <si>
    <t>Limitations and Future Work</t>
  </si>
  <si>
    <t>Limitations of the conceptual approach and/or limitations observed based on the evaluation results are derived and explained. Future work is outlined and linked to either the limitations of the approach as such and/or the overall topic.</t>
  </si>
  <si>
    <t>S6</t>
  </si>
  <si>
    <t>Report Quality, Structure and Appearance</t>
  </si>
  <si>
    <t>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</si>
  <si>
    <t>Strengths: Use of academic language and terminology is good. Effective visualization for the conceptual workflow overview. Relevant scientific literature is used to support statements.
Improvements: Report is slightly over the page limit (~5.5 pages out of the limit of 5). Section 3 (implementation) is quite long relative to the other sections. Tables 2 and 3 in section 4 are very information-dense.</t>
  </si>
  <si>
    <t>P1</t>
  </si>
  <si>
    <t>Content</t>
  </si>
  <si>
    <t>The content of the poster is correct and complete. It matches the content of the short paper. Note that the content as such is graded mainly through the short paper.</t>
  </si>
  <si>
    <t>P2</t>
  </si>
  <si>
    <t>Structure</t>
  </si>
  <si>
    <t>The poster is structured based on the provided template. The template is reasonably extended in case necessary. The structure is followed during the pitch. The connection between the different parts is clear and logically presented.</t>
  </si>
  <si>
    <t>P3</t>
  </si>
  <si>
    <t>Timing</t>
  </si>
  <si>
    <t>The overall time frame of 3 minutes is used adequately (not too short and not exceeded). The different parts of the pitch are allocated a reasonable amount of time considering their importance.</t>
  </si>
  <si>
    <t>P4</t>
  </si>
  <si>
    <t>Terminology and Presentation Style</t>
  </si>
  <si>
    <t>Academic language and terminology are used properly. Presentation style during the pitch is adequate.</t>
  </si>
  <si>
    <t>P5</t>
  </si>
  <si>
    <t>Visualizations</t>
  </si>
  <si>
    <t>There is effective use of visualizations, i.e., content is not only presented through textual information but supported by appropriate visualizations.</t>
  </si>
  <si>
    <t>P6</t>
  </si>
  <si>
    <t>Readability and Formating</t>
  </si>
  <si>
    <t>All elements on the poster are clearly readable, in particular visualizations. Poster is well-formatted.</t>
  </si>
  <si>
    <t>P7</t>
  </si>
  <si>
    <t>Q&amp;A and Discussion</t>
  </si>
  <si>
    <t>Questions by peers and lecturers can be answered correctly and comprehensively. If necessary, questions are answered during the pitch, i.e., there is flexibility in how it is presented without losing focus.</t>
  </si>
  <si>
    <t xml:space="preserve">Several limitations are stated and follow from the evaluation, like the timing of case attributes. The future work is linked to limitations which is good. Something that could be addes is the lack of hyperparameter tuning, and that some parameters (the 0.5 threshold, minPts) are taken from the original paper which is not bad per se, but should be a noted limitation since other parameters might lead to better results for this specific setting. It is also noted a small model is used for the LLM, future work could therefore also be larger LLM's. The additional ML models without case attributes can maybe also give avenues for future work? </t>
  </si>
  <si>
    <t>Data and split are described in detail, the evaluation design follows the original study this is good as it helps to motivate the design. The LTL rules which explain the ground truth are not explained in the paper, while reading i could not see for myself why the rules differ in difficulty. The method used to fabricate the ground truth is very reasonable, what could be added is a test of the rule functions on a few hand made traces. It might be worth to add them. Table 2 is clean and easily readable, and the additional ML models without the case attributes add a new angle into the paper. However , the results feel more stated than explained. Some questions I asked while reading the paper : Why does the rule 1 score rise at prefix length 21 specifically?  Why does the LLM over predict the deviant on rule 1 but not on rule 2-4? Why does rule 2 drop so much more then others when case attributes are removed? This circles back to the explaining of the rules, because they give more context to your results and can (maybe?) explain some of the observed results. Some results rely on the confusion matrix like saying the llm often predicts deviant, it could be added to the appendix as there is no way to verify this right now. Lastly, the classifiers use the defaults with no hyperparameter tuning , is this a deliberate choice? Maybe tuning the classifiers can generate better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</si>
</sst>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Aptos Narrow"/>
      <family val="2"/>
      <charset val="1"/>
    </font>
    <font>
      <b/>
      <sz val="11"/>
      <color rgb="FFFF0000"/>
      <name val="Aptos Narrow"/>
      <charset val="1"/>
    </font>
    <font>
      <b/>
      <sz val="11"/>
      <color theme="1"/>
      <name val="Aptos Narrow"/>
      <family val="2"/>
      <charset val="1"/>
    </font>
    <font>
      <b/>
      <sz val="11"/>
      <color rgb="FF000000"/>
      <name val="Aptos Narrow"/>
      <charset val="1"/>
    </font>
    <font>
      <sz val="11"/>
      <color rgb="FF000000"/>
      <name val="Aptos Narrow"/>
      <charset val="1"/>
    </font>
    <font>
      <sz val="11"/>
      <color theme="1"/>
      <name val="Aptos Narrow"/>
      <charset val="1"/>
    </font>
    <font>
      <sz val="11"/>
      <color rgb="FFFF0000"/>
      <name val="Aptos Narrow"/>
      <charset val="1"/>
    </font>
    <font>
      <sz val="11"/>
      <color rgb="FFFF0000"/>
      <name val="Aptos Narrow"/>
      <family val="2"/>
      <charset val="1"/>
    </font>
    <font>
      <b/>
      <sz val="11"/>
      <color rgb="FF000000"/>
      <name val="Aptos Narrow"/>
      <family val="2"/>
      <charset val="1"/>
    </font>
    <font>
      <sz val="11"/>
      <color rgb="FF000000"/>
      <name val="Aptos Narrow"/>
      <family val="2"/>
      <charset val="1"/>
    </font>
  </fonts>
  <fills count="2">
    <fill>
      <patternFill patternType="none"/>
    </fill>
    <fill>
      <patternFill patternType="gray125"/>
    </fill>
  </fills>
  <borders count="27">
    <border>
      <left/>
      <right/>
      <top/>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right style="thin">
        <color auto="1"/>
      </right>
      <top/>
      <bottom style="medium">
        <color auto="1"/>
      </bottom>
      <diagonal/>
    </border>
    <border>
      <left style="thin">
        <color auto="1"/>
      </left>
      <right style="medium">
        <color auto="1"/>
      </right>
      <top/>
      <bottom style="medium">
        <color auto="1"/>
      </bottom>
      <diagonal/>
    </border>
  </borders>
  <cellStyleXfs count="1">
    <xf numFmtId="0" fontId="0" fillId="0" borderId="0"/>
  </cellStyleXfs>
  <cellXfs count="87">
    <xf numFmtId="0" fontId="0" fillId="0" borderId="0" xfId="0"/>
    <xf numFmtId="0" fontId="3" fillId="0" borderId="0" xfId="0" applyFont="1" applyAlignment="1">
      <alignment horizontal="center" vertical="center" wrapText="1"/>
    </xf>
    <xf numFmtId="0" fontId="2" fillId="0" borderId="0" xfId="0" applyFont="1" applyAlignment="1">
      <alignment horizontal="left" vertical="center" wrapText="1"/>
    </xf>
    <xf numFmtId="0" fontId="0" fillId="0" borderId="0" xfId="0" applyAlignment="1">
      <alignment wrapText="1"/>
    </xf>
    <xf numFmtId="0" fontId="2" fillId="0" borderId="0" xfId="0" applyFont="1" applyAlignment="1">
      <alignment vertical="center" wrapText="1"/>
    </xf>
    <xf numFmtId="0" fontId="3" fillId="0" borderId="0" xfId="0" applyFont="1" applyAlignment="1">
      <alignment vertical="center"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0" fillId="0" borderId="0" xfId="0" applyAlignment="1">
      <alignment horizontal="center"/>
    </xf>
    <xf numFmtId="0" fontId="4" fillId="0" borderId="2" xfId="0" applyFont="1" applyBorder="1" applyAlignment="1">
      <alignment vertical="center" wrapText="1"/>
    </xf>
    <xf numFmtId="9" fontId="0" fillId="0" borderId="3" xfId="0" applyNumberFormat="1" applyBorder="1" applyAlignment="1">
      <alignment horizontal="left" vertical="center" wrapText="1"/>
    </xf>
    <xf numFmtId="0" fontId="4" fillId="0" borderId="4" xfId="0" applyFont="1" applyBorder="1" applyAlignment="1">
      <alignment vertical="center" wrapText="1"/>
    </xf>
    <xf numFmtId="0" fontId="0" fillId="0" borderId="0" xfId="0" applyAlignment="1">
      <alignment vertical="center" wrapText="1"/>
    </xf>
    <xf numFmtId="0" fontId="5" fillId="0" borderId="4" xfId="0" applyFont="1" applyBorder="1" applyAlignment="1">
      <alignment vertical="center" wrapText="1"/>
    </xf>
    <xf numFmtId="0" fontId="6" fillId="0" borderId="0" xfId="0" applyFont="1" applyAlignment="1">
      <alignment wrapText="1"/>
    </xf>
    <xf numFmtId="0" fontId="0" fillId="0" borderId="4" xfId="0" applyBorder="1" applyAlignment="1">
      <alignment vertical="center" wrapText="1"/>
    </xf>
    <xf numFmtId="0" fontId="4" fillId="0" borderId="5" xfId="0" applyFont="1" applyBorder="1" applyAlignment="1">
      <alignment vertical="center" wrapText="1"/>
    </xf>
    <xf numFmtId="0" fontId="0" fillId="0" borderId="6" xfId="0" applyBorder="1" applyAlignment="1">
      <alignment horizontal="left" vertical="center" wrapText="1"/>
    </xf>
    <xf numFmtId="0" fontId="5" fillId="0" borderId="7" xfId="0" applyFont="1" applyBorder="1" applyAlignment="1">
      <alignment vertical="center" wrapText="1"/>
    </xf>
    <xf numFmtId="0" fontId="5" fillId="0" borderId="0" xfId="0" applyFont="1" applyAlignment="1">
      <alignment vertical="center" wrapText="1"/>
    </xf>
    <xf numFmtId="0" fontId="7" fillId="0" borderId="0" xfId="0" applyFont="1" applyAlignment="1">
      <alignment wrapText="1"/>
    </xf>
    <xf numFmtId="0" fontId="4" fillId="0" borderId="0" xfId="0" applyFont="1" applyAlignment="1">
      <alignment vertical="center" wrapText="1"/>
    </xf>
    <xf numFmtId="0" fontId="3" fillId="0" borderId="0" xfId="0" applyFont="1" applyAlignment="1">
      <alignment wrapText="1"/>
    </xf>
    <xf numFmtId="164" fontId="3" fillId="0" borderId="0" xfId="0" applyNumberFormat="1" applyFont="1" applyAlignment="1">
      <alignment vertical="center" wrapText="1"/>
    </xf>
    <xf numFmtId="2" fontId="2" fillId="0" borderId="0" xfId="0" applyNumberFormat="1" applyFont="1" applyAlignment="1">
      <alignment vertical="center" wrapText="1"/>
    </xf>
    <xf numFmtId="0" fontId="6" fillId="0" borderId="0" xfId="0" applyFont="1" applyAlignment="1">
      <alignment vertical="center" wrapText="1"/>
    </xf>
    <xf numFmtId="0" fontId="0" fillId="0" borderId="8" xfId="0" applyBorder="1" applyAlignment="1">
      <alignment wrapText="1"/>
    </xf>
    <xf numFmtId="0" fontId="2" fillId="0" borderId="9" xfId="0" applyFont="1" applyBorder="1" applyAlignment="1">
      <alignment horizontal="center" vertical="center" wrapText="1"/>
    </xf>
    <xf numFmtId="0" fontId="3" fillId="0" borderId="9"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3" xfId="0" applyFont="1" applyBorder="1" applyAlignment="1">
      <alignment horizontal="center" vertical="center" wrapText="1"/>
    </xf>
    <xf numFmtId="0" fontId="0" fillId="0" borderId="13" xfId="0" applyBorder="1" applyAlignment="1">
      <alignment horizontal="center" vertical="center" wrapText="1"/>
    </xf>
    <xf numFmtId="0" fontId="2" fillId="0" borderId="14" xfId="0" applyFont="1" applyBorder="1" applyAlignment="1">
      <alignment vertical="center" wrapText="1"/>
    </xf>
    <xf numFmtId="0" fontId="0" fillId="0" borderId="15" xfId="0" applyBorder="1" applyAlignment="1">
      <alignment horizontal="center" vertical="center" wrapText="1"/>
    </xf>
    <xf numFmtId="0" fontId="0" fillId="0" borderId="16" xfId="0" applyBorder="1" applyAlignment="1">
      <alignment vertical="center" wrapText="1"/>
    </xf>
    <xf numFmtId="0" fontId="7" fillId="0" borderId="16" xfId="0" applyFont="1" applyBorder="1" applyAlignment="1">
      <alignment wrapText="1"/>
    </xf>
    <xf numFmtId="0" fontId="0" fillId="0" borderId="16" xfId="0" applyBorder="1" applyAlignment="1">
      <alignment wrapText="1"/>
    </xf>
    <xf numFmtId="0" fontId="0" fillId="0" borderId="16" xfId="0"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vertical="top" wrapText="1"/>
    </xf>
    <xf numFmtId="0" fontId="0" fillId="0" borderId="18" xfId="0"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wrapText="1"/>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4" xfId="0" applyBorder="1" applyAlignment="1">
      <alignment vertical="top" wrapText="1"/>
    </xf>
    <xf numFmtId="0" fontId="0" fillId="0" borderId="4" xfId="0" applyBorder="1" applyAlignment="1">
      <alignment wrapText="1"/>
    </xf>
    <xf numFmtId="0" fontId="7" fillId="0" borderId="3" xfId="0" applyFont="1" applyBorder="1" applyAlignment="1">
      <alignment wrapText="1"/>
    </xf>
    <xf numFmtId="0" fontId="0" fillId="0" borderId="19" xfId="0" applyBorder="1" applyAlignment="1">
      <alignment horizontal="center" vertical="center" wrapText="1"/>
    </xf>
    <xf numFmtId="0" fontId="0" fillId="0" borderId="6" xfId="0" applyBorder="1" applyAlignment="1">
      <alignment vertical="center" wrapText="1"/>
    </xf>
    <xf numFmtId="0" fontId="7" fillId="0" borderId="6" xfId="0" applyFont="1" applyBorder="1" applyAlignment="1">
      <alignment wrapText="1"/>
    </xf>
    <xf numFmtId="0" fontId="0" fillId="0" borderId="6" xfId="0" applyBorder="1" applyAlignment="1">
      <alignment wrapText="1"/>
    </xf>
    <xf numFmtId="0" fontId="0" fillId="0" borderId="6" xfId="0" applyBorder="1" applyAlignment="1">
      <alignment horizontal="center" vertical="center" wrapText="1"/>
    </xf>
    <xf numFmtId="0" fontId="0" fillId="0" borderId="20" xfId="0" applyBorder="1" applyAlignment="1">
      <alignment horizontal="center" vertical="center" wrapText="1"/>
    </xf>
    <xf numFmtId="0" fontId="0" fillId="0" borderId="7" xfId="0" applyBorder="1" applyAlignment="1">
      <alignment wrapText="1"/>
    </xf>
    <xf numFmtId="0" fontId="2"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center" wrapText="1"/>
    </xf>
    <xf numFmtId="0" fontId="4" fillId="0" borderId="0" xfId="0" applyFont="1" applyAlignment="1">
      <alignment horizontal="center" vertical="center" wrapText="1"/>
    </xf>
    <xf numFmtId="0" fontId="9" fillId="0" borderId="0" xfId="0" applyFont="1" applyAlignment="1">
      <alignment horizontal="center" vertical="center" wrapText="1"/>
    </xf>
    <xf numFmtId="164" fontId="3" fillId="0" borderId="0" xfId="0" applyNumberFormat="1" applyFont="1" applyAlignment="1">
      <alignment horizontal="center" vertical="center" wrapText="1"/>
    </xf>
    <xf numFmtId="2" fontId="2" fillId="0" borderId="0" xfId="0" applyNumberFormat="1" applyFont="1" applyAlignment="1">
      <alignment horizontal="center" vertical="center" wrapText="1"/>
    </xf>
    <xf numFmtId="0" fontId="7" fillId="0" borderId="0" xfId="0" applyFont="1" applyAlignment="1">
      <alignment horizontal="left" vertical="center" wrapText="1"/>
    </xf>
    <xf numFmtId="0" fontId="3" fillId="0" borderId="13" xfId="0" applyFont="1" applyBorder="1" applyAlignment="1">
      <alignment horizontal="center" vertical="center" wrapText="1"/>
    </xf>
    <xf numFmtId="0" fontId="0" fillId="0" borderId="22" xfId="0" applyBorder="1" applyAlignment="1">
      <alignment horizontal="center" vertical="center" wrapText="1"/>
    </xf>
    <xf numFmtId="0" fontId="0" fillId="0" borderId="23" xfId="0" applyBorder="1" applyAlignment="1">
      <alignment horizontal="left" vertical="center" wrapText="1"/>
    </xf>
    <xf numFmtId="0" fontId="2" fillId="0" borderId="23" xfId="0" applyFont="1" applyBorder="1" applyAlignment="1">
      <alignment horizontal="left" vertical="center" wrapText="1"/>
    </xf>
    <xf numFmtId="0" fontId="0" fillId="0" borderId="23" xfId="0" applyBorder="1" applyAlignment="1">
      <alignment horizontal="center" vertical="center" wrapText="1"/>
    </xf>
    <xf numFmtId="0" fontId="4" fillId="0" borderId="23"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4" xfId="0" applyFont="1" applyBorder="1" applyAlignment="1">
      <alignment vertical="center" wrapText="1"/>
    </xf>
    <xf numFmtId="0" fontId="0" fillId="0" borderId="4" xfId="0" applyBorder="1" applyAlignment="1">
      <alignment horizontal="center" vertical="center" wrapText="1"/>
    </xf>
    <xf numFmtId="0" fontId="0" fillId="0" borderId="25" xfId="0" applyBorder="1" applyAlignment="1">
      <alignment horizontal="center" vertical="center" wrapText="1"/>
    </xf>
    <xf numFmtId="0" fontId="0" fillId="0" borderId="20" xfId="0" applyBorder="1" applyAlignment="1">
      <alignment horizontal="left" vertical="center" wrapText="1"/>
    </xf>
    <xf numFmtId="0" fontId="4" fillId="0" borderId="20" xfId="0" applyFont="1" applyBorder="1" applyAlignment="1">
      <alignment horizontal="center" vertical="center" wrapText="1"/>
    </xf>
    <xf numFmtId="0" fontId="0" fillId="0" borderId="26" xfId="0" applyBorder="1" applyAlignment="1">
      <alignment vertical="center" wrapText="1"/>
    </xf>
    <xf numFmtId="0" fontId="3" fillId="0" borderId="0" xfId="0" applyFont="1" applyAlignment="1">
      <alignment horizontal="center" vertical="center" wrapText="1"/>
    </xf>
    <xf numFmtId="0" fontId="8" fillId="0" borderId="0" xfId="0" applyFont="1" applyAlignment="1">
      <alignment horizontal="left" vertical="center" wrapText="1"/>
    </xf>
    <xf numFmtId="0" fontId="3" fillId="0" borderId="0" xfId="0" applyFont="1" applyAlignment="1">
      <alignment horizontal="left" vertical="center" wrapText="1"/>
    </xf>
    <xf numFmtId="0" fontId="8" fillId="0" borderId="11" xfId="0" applyFont="1" applyBorder="1" applyAlignment="1">
      <alignment horizontal="center" vertical="center" wrapText="1"/>
    </xf>
    <xf numFmtId="0" fontId="2" fillId="0" borderId="12" xfId="0" applyFont="1" applyBorder="1" applyAlignment="1">
      <alignment horizontal="left" vertical="center" wrapText="1"/>
    </xf>
    <xf numFmtId="0" fontId="8" fillId="0" borderId="0" xfId="0" applyFont="1" applyAlignment="1">
      <alignment horizontal="center" vertical="center" wrapText="1"/>
    </xf>
    <xf numFmtId="0" fontId="2" fillId="0" borderId="0" xfId="0" applyFont="1" applyAlignment="1">
      <alignment horizontal="left" vertical="center" wrapText="1"/>
    </xf>
    <xf numFmtId="0" fontId="3" fillId="0" borderId="0" xfId="0" applyFont="1" applyAlignment="1">
      <alignment horizontal="left" wrapText="1"/>
    </xf>
    <xf numFmtId="0" fontId="1" fillId="0" borderId="1" xfId="0" applyFont="1" applyBorder="1" applyAlignment="1">
      <alignment horizontal="center" vertical="center" wrapText="1"/>
    </xf>
    <xf numFmtId="0" fontId="2" fillId="0" borderId="21" xfId="0" applyFont="1" applyBorder="1" applyAlignment="1">
      <alignment horizontal="left" vertical="center" wrapText="1"/>
    </xf>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3"/>
  <sheetViews>
    <sheetView topLeftCell="A6" zoomScaleNormal="100" workbookViewId="0">
      <selection activeCell="E7" sqref="E7"/>
    </sheetView>
  </sheetViews>
  <sheetFormatPr defaultColWidth="9.140625" defaultRowHeight="15" x14ac:dyDescent="0.25"/>
  <cols>
    <col min="1" max="1" width="25.28515625" style="3" customWidth="1"/>
    <col min="2" max="2" width="16.5703125" style="3" customWidth="1"/>
    <col min="3" max="3" width="88.7109375" style="3" customWidth="1"/>
    <col min="4" max="4" width="19.140625" style="3" customWidth="1"/>
    <col min="5" max="5" width="31.5703125" style="3" customWidth="1"/>
    <col min="6" max="6" width="16.140625" style="3" customWidth="1"/>
    <col min="7" max="7" width="87" style="3" customWidth="1"/>
    <col min="8" max="8" width="11.5703125" style="3" customWidth="1"/>
    <col min="9" max="9" width="9.140625" style="3"/>
    <col min="10" max="10" width="15.85546875" style="3" customWidth="1"/>
    <col min="11" max="11" width="40.140625" style="3" customWidth="1"/>
    <col min="12" max="16384" width="9.140625" style="3"/>
  </cols>
  <sheetData>
    <row r="1" spans="1:11" ht="47.25" customHeight="1" x14ac:dyDescent="0.25">
      <c r="A1" s="85" t="s">
        <v>0</v>
      </c>
      <c r="B1" s="85"/>
      <c r="C1" s="85"/>
      <c r="F1" s="4"/>
      <c r="G1" s="4"/>
      <c r="H1" s="5"/>
      <c r="I1" s="4"/>
      <c r="J1" s="4"/>
      <c r="K1" s="4"/>
    </row>
    <row r="2" spans="1:11" ht="25.5" customHeight="1" x14ac:dyDescent="0.25">
      <c r="A2" s="6" t="s">
        <v>1</v>
      </c>
      <c r="B2" s="7" t="s">
        <v>2</v>
      </c>
      <c r="C2" s="8" t="s">
        <v>3</v>
      </c>
      <c r="D2" s="9"/>
      <c r="E2" s="9"/>
      <c r="F2" s="4"/>
      <c r="G2" s="4"/>
      <c r="H2" s="5"/>
      <c r="I2" s="4"/>
      <c r="J2" s="4"/>
      <c r="K2" s="4"/>
    </row>
    <row r="3" spans="1:11" ht="42" customHeight="1" x14ac:dyDescent="0.25">
      <c r="A3" s="10" t="s">
        <v>4</v>
      </c>
      <c r="B3" s="11">
        <v>0.35</v>
      </c>
      <c r="C3" s="12" t="s">
        <v>5</v>
      </c>
      <c r="D3" s="4"/>
      <c r="E3" s="4"/>
      <c r="F3" s="4"/>
      <c r="G3" s="4"/>
      <c r="H3" s="4"/>
      <c r="I3" s="13"/>
      <c r="J3" s="4"/>
      <c r="K3" s="4"/>
    </row>
    <row r="4" spans="1:11" ht="60.75" customHeight="1" x14ac:dyDescent="0.25">
      <c r="A4" s="10" t="s">
        <v>6</v>
      </c>
      <c r="B4" s="11">
        <v>0.25</v>
      </c>
      <c r="C4" s="14" t="s">
        <v>7</v>
      </c>
      <c r="D4" s="15"/>
      <c r="G4" s="13"/>
      <c r="H4" s="13"/>
      <c r="I4" s="13"/>
      <c r="J4" s="13"/>
    </row>
    <row r="5" spans="1:11" ht="89.25" customHeight="1" x14ac:dyDescent="0.25">
      <c r="A5" s="10" t="s">
        <v>8</v>
      </c>
      <c r="B5" s="11">
        <v>0.3</v>
      </c>
      <c r="C5" s="16" t="s">
        <v>9</v>
      </c>
      <c r="G5" s="13"/>
      <c r="H5" s="13"/>
      <c r="I5" s="13"/>
      <c r="J5" s="13"/>
    </row>
    <row r="6" spans="1:11" ht="98.25" customHeight="1" x14ac:dyDescent="0.25">
      <c r="A6" s="10" t="s">
        <v>10</v>
      </c>
      <c r="B6" s="11">
        <v>0.1</v>
      </c>
      <c r="C6" s="12" t="s">
        <v>11</v>
      </c>
      <c r="G6" s="13"/>
      <c r="H6" s="13"/>
      <c r="I6" s="13"/>
      <c r="J6" s="13"/>
    </row>
    <row r="7" spans="1:11" ht="139.5" customHeight="1" x14ac:dyDescent="0.25">
      <c r="A7" s="17" t="s">
        <v>12</v>
      </c>
      <c r="B7" s="18"/>
      <c r="C7" s="19" t="s">
        <v>13</v>
      </c>
      <c r="G7" s="20"/>
      <c r="H7" s="13"/>
      <c r="I7" s="13"/>
      <c r="J7" s="13"/>
    </row>
    <row r="8" spans="1:11" ht="87" customHeight="1" x14ac:dyDescent="0.25">
      <c r="A8" s="5"/>
      <c r="B8" s="13"/>
      <c r="C8" s="13"/>
      <c r="D8" s="21"/>
      <c r="G8" s="13"/>
      <c r="H8" s="13"/>
      <c r="I8" s="13"/>
      <c r="J8" s="13"/>
    </row>
    <row r="9" spans="1:11" ht="88.5" customHeight="1" x14ac:dyDescent="0.25">
      <c r="A9" s="5"/>
      <c r="B9" s="13"/>
      <c r="C9" s="13"/>
      <c r="D9" s="21"/>
      <c r="G9" s="13"/>
      <c r="H9" s="13"/>
      <c r="I9" s="13"/>
      <c r="J9" s="13"/>
    </row>
    <row r="10" spans="1:11" ht="17.25" customHeight="1" x14ac:dyDescent="0.25">
      <c r="A10" s="5"/>
      <c r="B10" s="4"/>
      <c r="C10" s="4"/>
      <c r="D10" s="4"/>
      <c r="E10" s="4"/>
      <c r="F10" s="4"/>
      <c r="G10" s="4"/>
      <c r="H10" s="5"/>
      <c r="I10" s="4"/>
      <c r="J10" s="4"/>
      <c r="K10" s="4"/>
    </row>
    <row r="11" spans="1:11" ht="54.75" customHeight="1" x14ac:dyDescent="0.25">
      <c r="A11" s="5"/>
      <c r="B11" s="13"/>
      <c r="C11" s="13"/>
      <c r="D11" s="4"/>
      <c r="E11" s="4"/>
      <c r="F11" s="4"/>
      <c r="G11" s="13"/>
      <c r="H11" s="22"/>
      <c r="I11" s="4"/>
      <c r="J11" s="13"/>
      <c r="K11" s="4"/>
    </row>
    <row r="12" spans="1:11" ht="59.25" customHeight="1" x14ac:dyDescent="0.25">
      <c r="A12" s="5"/>
      <c r="B12" s="13"/>
      <c r="C12" s="13"/>
      <c r="D12" s="13"/>
      <c r="E12" s="13"/>
      <c r="F12" s="13"/>
      <c r="G12" s="13"/>
      <c r="H12" s="13"/>
      <c r="I12" s="13"/>
      <c r="J12" s="13"/>
      <c r="K12" s="13"/>
    </row>
    <row r="13" spans="1:11" ht="50.25" customHeight="1" x14ac:dyDescent="0.25">
      <c r="A13" s="5"/>
      <c r="B13" s="13"/>
      <c r="C13" s="13"/>
      <c r="D13" s="13"/>
      <c r="E13" s="13"/>
      <c r="F13" s="13"/>
      <c r="G13" s="13"/>
      <c r="H13" s="13"/>
      <c r="I13" s="13"/>
      <c r="J13" s="13"/>
      <c r="K13" s="13"/>
    </row>
    <row r="14" spans="1:11" x14ac:dyDescent="0.25">
      <c r="A14" s="5"/>
      <c r="B14" s="13"/>
      <c r="C14" s="13"/>
      <c r="D14" s="13"/>
      <c r="E14" s="13"/>
      <c r="F14" s="13"/>
      <c r="G14" s="13"/>
      <c r="H14" s="13"/>
      <c r="I14" s="13"/>
      <c r="J14" s="13"/>
      <c r="K14" s="13"/>
    </row>
    <row r="15" spans="1:11" ht="37.5" customHeight="1" x14ac:dyDescent="0.25">
      <c r="A15" s="5"/>
      <c r="B15" s="13"/>
      <c r="C15" s="13"/>
      <c r="G15" s="13"/>
      <c r="H15" s="13"/>
      <c r="J15" s="13"/>
    </row>
    <row r="16" spans="1:11" ht="37.5" customHeight="1" x14ac:dyDescent="0.25">
      <c r="A16" s="5"/>
      <c r="B16" s="13"/>
      <c r="C16" s="13"/>
      <c r="G16" s="13"/>
      <c r="H16" s="13"/>
      <c r="J16" s="13"/>
    </row>
    <row r="17" spans="1:11" ht="51.75" customHeight="1" x14ac:dyDescent="0.25">
      <c r="A17" s="5"/>
      <c r="B17" s="13"/>
      <c r="C17" s="13"/>
      <c r="D17" s="13"/>
      <c r="E17" s="13"/>
      <c r="F17" s="13"/>
      <c r="G17" s="13"/>
      <c r="H17" s="22"/>
      <c r="I17" s="13"/>
      <c r="J17" s="13"/>
      <c r="K17" s="13"/>
    </row>
    <row r="18" spans="1:11" x14ac:dyDescent="0.25">
      <c r="A18" s="5"/>
      <c r="B18" s="23"/>
      <c r="C18" s="23"/>
      <c r="D18" s="23"/>
      <c r="E18" s="23"/>
      <c r="F18" s="23"/>
      <c r="G18" s="23"/>
      <c r="H18" s="5"/>
      <c r="J18" s="4"/>
    </row>
    <row r="19" spans="1:11" ht="81.75" customHeight="1" x14ac:dyDescent="0.25">
      <c r="A19" s="5"/>
      <c r="B19" s="13"/>
      <c r="C19" s="13"/>
      <c r="G19" s="13"/>
      <c r="H19" s="13"/>
      <c r="J19" s="13"/>
    </row>
    <row r="20" spans="1:11" ht="66.75" customHeight="1" x14ac:dyDescent="0.25">
      <c r="A20" s="5"/>
      <c r="B20" s="13"/>
      <c r="C20" s="13"/>
      <c r="G20" s="13"/>
      <c r="H20" s="13"/>
      <c r="J20" s="13"/>
    </row>
    <row r="21" spans="1:11" ht="78" customHeight="1" x14ac:dyDescent="0.25">
      <c r="A21" s="5"/>
      <c r="B21" s="13"/>
      <c r="C21" s="13"/>
      <c r="G21" s="13"/>
      <c r="H21" s="13"/>
      <c r="J21" s="13"/>
    </row>
    <row r="22" spans="1:11" ht="78" customHeight="1" x14ac:dyDescent="0.25">
      <c r="A22" s="5"/>
      <c r="B22" s="13"/>
      <c r="C22" s="13"/>
      <c r="G22" s="13"/>
      <c r="H22" s="13"/>
      <c r="J22" s="13"/>
    </row>
    <row r="23" spans="1:11" ht="15" customHeight="1" x14ac:dyDescent="0.25">
      <c r="A23" s="5"/>
      <c r="B23" s="5"/>
      <c r="C23" s="5"/>
      <c r="D23" s="5"/>
      <c r="E23" s="5"/>
      <c r="F23" s="5"/>
      <c r="G23" s="5"/>
      <c r="H23" s="4"/>
      <c r="J23" s="4"/>
    </row>
    <row r="24" spans="1:11" ht="42" customHeight="1" x14ac:dyDescent="0.25">
      <c r="A24" s="5"/>
      <c r="B24" s="13"/>
      <c r="C24" s="13"/>
      <c r="G24" s="13"/>
      <c r="H24" s="13"/>
      <c r="J24" s="13"/>
    </row>
    <row r="25" spans="1:11" ht="62.25" customHeight="1" x14ac:dyDescent="0.25">
      <c r="A25" s="5"/>
      <c r="B25" s="13"/>
      <c r="C25" s="13"/>
      <c r="G25" s="13"/>
      <c r="H25" s="13"/>
      <c r="J25" s="13"/>
    </row>
    <row r="26" spans="1:11" ht="63.75" customHeight="1" x14ac:dyDescent="0.25">
      <c r="A26" s="5"/>
      <c r="B26" s="13"/>
      <c r="C26" s="13"/>
      <c r="G26" s="22"/>
      <c r="H26" s="13"/>
      <c r="J26" s="13"/>
    </row>
    <row r="27" spans="1:11" x14ac:dyDescent="0.25">
      <c r="A27" s="5"/>
      <c r="B27" s="5"/>
      <c r="C27" s="5"/>
      <c r="D27" s="5"/>
      <c r="E27" s="5"/>
      <c r="F27" s="5"/>
      <c r="G27" s="5"/>
      <c r="H27" s="5"/>
      <c r="I27" s="24"/>
      <c r="J27" s="25"/>
    </row>
    <row r="33" spans="2:6" x14ac:dyDescent="0.25">
      <c r="C33" s="13"/>
      <c r="D33" s="21"/>
    </row>
    <row r="43" spans="2:6" x14ac:dyDescent="0.25">
      <c r="B43" s="26"/>
      <c r="C43" s="13"/>
      <c r="D43" s="13"/>
      <c r="E43" s="13"/>
      <c r="F43" s="13"/>
    </row>
  </sheetData>
  <mergeCells count="1">
    <mergeCell ref="A1:C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2"/>
  <sheetViews>
    <sheetView tabSelected="1" topLeftCell="C3" zoomScale="85" zoomScaleNormal="85" workbookViewId="0">
      <selection activeCell="K6" sqref="K6"/>
    </sheetView>
  </sheetViews>
  <sheetFormatPr defaultColWidth="9.140625" defaultRowHeight="15" x14ac:dyDescent="0.25"/>
  <cols>
    <col min="1" max="1" width="25.28515625" style="3" customWidth="1"/>
    <col min="2" max="2" width="9.140625" style="3"/>
    <col min="3" max="3" width="20.7109375" style="3" customWidth="1"/>
    <col min="4" max="4" width="19.140625" style="3" customWidth="1"/>
    <col min="5" max="5" width="17" style="3" customWidth="1"/>
    <col min="6" max="6" width="16.140625" style="3" customWidth="1"/>
    <col min="7" max="7" width="87" style="3" customWidth="1"/>
    <col min="8" max="8" width="11.5703125" style="3" customWidth="1"/>
    <col min="9" max="9" width="9.140625" style="3"/>
    <col min="10" max="10" width="15.85546875" style="3" customWidth="1"/>
    <col min="11" max="11" width="110" style="3" customWidth="1"/>
    <col min="12" max="16384" width="9.140625" style="3"/>
  </cols>
  <sheetData>
    <row r="1" spans="1:11" x14ac:dyDescent="0.25">
      <c r="A1" s="27"/>
      <c r="B1" s="28" t="s">
        <v>14</v>
      </c>
      <c r="C1" s="28" t="s">
        <v>15</v>
      </c>
      <c r="D1" s="28" t="s">
        <v>16</v>
      </c>
      <c r="E1" s="28" t="s">
        <v>17</v>
      </c>
      <c r="F1" s="28" t="s">
        <v>18</v>
      </c>
      <c r="G1" s="28" t="s">
        <v>19</v>
      </c>
      <c r="H1" s="29" t="s">
        <v>20</v>
      </c>
      <c r="I1" s="28" t="s">
        <v>21</v>
      </c>
      <c r="J1" s="28" t="s">
        <v>22</v>
      </c>
      <c r="K1" s="30" t="s">
        <v>23</v>
      </c>
    </row>
    <row r="2" spans="1:11" ht="15" customHeight="1" x14ac:dyDescent="0.25">
      <c r="A2" s="80" t="s">
        <v>4</v>
      </c>
      <c r="B2" s="81" t="s">
        <v>24</v>
      </c>
      <c r="C2" s="81"/>
      <c r="D2" s="81"/>
      <c r="E2" s="81"/>
      <c r="F2" s="81"/>
      <c r="G2" s="81"/>
      <c r="H2" s="31">
        <f>SUM(H3:H8)</f>
        <v>35</v>
      </c>
      <c r="I2" s="32"/>
      <c r="J2" s="31">
        <f>SUM(J3:J8)</f>
        <v>25.38</v>
      </c>
      <c r="K2" s="33"/>
    </row>
    <row r="3" spans="1:11" ht="77.25" customHeight="1" x14ac:dyDescent="0.25">
      <c r="A3" s="80"/>
      <c r="B3" s="34" t="s">
        <v>25</v>
      </c>
      <c r="C3" s="35" t="s">
        <v>26</v>
      </c>
      <c r="D3" s="36"/>
      <c r="E3" s="37"/>
      <c r="F3" s="37"/>
      <c r="G3" s="38" t="s">
        <v>27</v>
      </c>
      <c r="H3" s="38">
        <v>4</v>
      </c>
      <c r="I3" s="39">
        <v>7</v>
      </c>
      <c r="J3" s="38">
        <f t="shared" ref="J3:J8" si="0">H3*I3/10</f>
        <v>2.8</v>
      </c>
      <c r="K3" s="40" t="s">
        <v>28</v>
      </c>
    </row>
    <row r="4" spans="1:11" ht="81.75" customHeight="1" x14ac:dyDescent="0.25">
      <c r="A4" s="80"/>
      <c r="B4" s="41" t="s">
        <v>29</v>
      </c>
      <c r="C4" s="42" t="s">
        <v>30</v>
      </c>
      <c r="D4" s="43"/>
      <c r="E4" s="43"/>
      <c r="F4" s="43"/>
      <c r="G4" s="44" t="s">
        <v>31</v>
      </c>
      <c r="H4" s="44">
        <v>10</v>
      </c>
      <c r="I4" s="45">
        <v>7</v>
      </c>
      <c r="J4" s="38">
        <f t="shared" si="0"/>
        <v>7</v>
      </c>
      <c r="K4" s="46" t="s">
        <v>32</v>
      </c>
    </row>
    <row r="5" spans="1:11" ht="69" customHeight="1" x14ac:dyDescent="0.25">
      <c r="A5" s="80"/>
      <c r="B5" s="41" t="s">
        <v>33</v>
      </c>
      <c r="C5" s="42" t="s">
        <v>8</v>
      </c>
      <c r="D5" s="43"/>
      <c r="E5" s="43"/>
      <c r="F5" s="43"/>
      <c r="G5" s="44" t="s">
        <v>34</v>
      </c>
      <c r="H5" s="44">
        <v>3</v>
      </c>
      <c r="I5" s="45">
        <v>9</v>
      </c>
      <c r="J5" s="38">
        <f t="shared" si="0"/>
        <v>2.7</v>
      </c>
      <c r="K5" s="46" t="s">
        <v>35</v>
      </c>
    </row>
    <row r="6" spans="1:11" ht="139.5" customHeight="1" x14ac:dyDescent="0.25">
      <c r="A6" s="80"/>
      <c r="B6" s="41" t="s">
        <v>36</v>
      </c>
      <c r="C6" s="42" t="s">
        <v>37</v>
      </c>
      <c r="D6" s="43"/>
      <c r="E6" s="43"/>
      <c r="F6" s="43"/>
      <c r="G6" s="44" t="s">
        <v>38</v>
      </c>
      <c r="H6" s="44">
        <v>10</v>
      </c>
      <c r="I6" s="44">
        <v>7</v>
      </c>
      <c r="J6" s="38">
        <f t="shared" si="0"/>
        <v>7</v>
      </c>
      <c r="K6" s="47" t="s">
        <v>68</v>
      </c>
    </row>
    <row r="7" spans="1:11" ht="87" customHeight="1" x14ac:dyDescent="0.25">
      <c r="A7" s="80"/>
      <c r="B7" s="41" t="s">
        <v>39</v>
      </c>
      <c r="C7" s="42" t="s">
        <v>40</v>
      </c>
      <c r="D7" s="48"/>
      <c r="E7" s="43"/>
      <c r="F7" s="43"/>
      <c r="G7" s="44" t="s">
        <v>41</v>
      </c>
      <c r="H7" s="44">
        <v>4</v>
      </c>
      <c r="I7" s="44">
        <v>6.7</v>
      </c>
      <c r="J7" s="38">
        <f t="shared" si="0"/>
        <v>2.68</v>
      </c>
      <c r="K7" s="47" t="s">
        <v>67</v>
      </c>
    </row>
    <row r="8" spans="1:11" ht="88.5" customHeight="1" x14ac:dyDescent="0.25">
      <c r="A8" s="80"/>
      <c r="B8" s="49" t="s">
        <v>42</v>
      </c>
      <c r="C8" s="50" t="s">
        <v>43</v>
      </c>
      <c r="D8" s="51"/>
      <c r="E8" s="52"/>
      <c r="F8" s="52"/>
      <c r="G8" s="53" t="s">
        <v>44</v>
      </c>
      <c r="H8" s="53">
        <v>4</v>
      </c>
      <c r="I8" s="53">
        <v>8</v>
      </c>
      <c r="J8" s="54">
        <f t="shared" si="0"/>
        <v>3.2</v>
      </c>
      <c r="K8" s="55" t="s">
        <v>45</v>
      </c>
    </row>
    <row r="9" spans="1:11" ht="17.25" customHeight="1" x14ac:dyDescent="0.25">
      <c r="A9" s="82"/>
      <c r="B9" s="83"/>
      <c r="C9" s="83"/>
      <c r="D9" s="83"/>
      <c r="E9" s="83"/>
      <c r="F9" s="83"/>
      <c r="G9" s="83"/>
      <c r="H9" s="1"/>
      <c r="I9" s="56"/>
      <c r="J9" s="56"/>
      <c r="K9" s="4"/>
    </row>
    <row r="10" spans="1:11" ht="54.75" customHeight="1" x14ac:dyDescent="0.25">
      <c r="A10" s="82"/>
      <c r="B10" s="57"/>
      <c r="C10" s="58"/>
      <c r="D10" s="2"/>
      <c r="E10" s="2"/>
      <c r="F10" s="2"/>
      <c r="G10" s="57"/>
      <c r="H10" s="59"/>
      <c r="I10" s="56"/>
      <c r="J10" s="57"/>
      <c r="K10" s="4"/>
    </row>
    <row r="11" spans="1:11" ht="59.25" customHeight="1" x14ac:dyDescent="0.25">
      <c r="A11" s="82"/>
      <c r="B11" s="57"/>
      <c r="C11" s="13"/>
      <c r="D11" s="57"/>
      <c r="E11" s="57"/>
      <c r="F11" s="57"/>
      <c r="G11" s="57"/>
      <c r="H11" s="57"/>
      <c r="I11" s="57"/>
      <c r="J11" s="57"/>
      <c r="K11" s="57"/>
    </row>
    <row r="12" spans="1:11" ht="50.25" customHeight="1" x14ac:dyDescent="0.25">
      <c r="A12" s="82"/>
      <c r="B12" s="57"/>
      <c r="C12" s="13"/>
      <c r="D12" s="57"/>
      <c r="E12" s="57"/>
      <c r="F12" s="57"/>
      <c r="G12" s="57"/>
      <c r="H12" s="57"/>
      <c r="I12" s="57"/>
      <c r="J12" s="57"/>
      <c r="K12" s="57"/>
    </row>
    <row r="13" spans="1:11" x14ac:dyDescent="0.25">
      <c r="A13" s="82"/>
      <c r="B13" s="57"/>
      <c r="C13" s="13"/>
      <c r="D13" s="57"/>
      <c r="E13" s="57"/>
      <c r="F13" s="57"/>
      <c r="G13" s="57"/>
      <c r="H13" s="57"/>
      <c r="I13" s="57"/>
      <c r="J13" s="57"/>
      <c r="K13" s="57"/>
    </row>
    <row r="14" spans="1:11" ht="37.5" customHeight="1" x14ac:dyDescent="0.25">
      <c r="A14" s="82"/>
      <c r="B14" s="57"/>
      <c r="C14" s="13"/>
      <c r="G14" s="57"/>
      <c r="H14" s="57"/>
      <c r="J14" s="57"/>
    </row>
    <row r="15" spans="1:11" ht="37.5" customHeight="1" x14ac:dyDescent="0.25">
      <c r="A15" s="82"/>
      <c r="B15" s="57"/>
      <c r="C15" s="13"/>
      <c r="G15" s="57"/>
      <c r="H15" s="57"/>
      <c r="J15" s="57"/>
    </row>
    <row r="16" spans="1:11" ht="51.75" customHeight="1" x14ac:dyDescent="0.25">
      <c r="A16" s="82"/>
      <c r="B16" s="57"/>
      <c r="C16" s="58"/>
      <c r="D16" s="58"/>
      <c r="E16" s="58"/>
      <c r="F16" s="58"/>
      <c r="G16" s="57"/>
      <c r="H16" s="59"/>
      <c r="I16" s="57"/>
      <c r="J16" s="57"/>
      <c r="K16" s="13"/>
    </row>
    <row r="17" spans="1:10" x14ac:dyDescent="0.25">
      <c r="A17" s="77"/>
      <c r="B17" s="84"/>
      <c r="C17" s="84"/>
      <c r="D17" s="84"/>
      <c r="E17" s="84"/>
      <c r="F17" s="84"/>
      <c r="G17" s="84"/>
      <c r="H17" s="1"/>
      <c r="J17" s="56"/>
    </row>
    <row r="18" spans="1:10" ht="81.75" customHeight="1" x14ac:dyDescent="0.25">
      <c r="A18" s="77"/>
      <c r="B18" s="57"/>
      <c r="C18" s="58"/>
      <c r="G18" s="57"/>
      <c r="H18" s="57"/>
      <c r="J18" s="57"/>
    </row>
    <row r="19" spans="1:10" ht="66.75" customHeight="1" x14ac:dyDescent="0.25">
      <c r="A19" s="77"/>
      <c r="B19" s="57"/>
      <c r="C19" s="58"/>
      <c r="G19" s="57"/>
      <c r="H19" s="57"/>
      <c r="J19" s="57"/>
    </row>
    <row r="20" spans="1:10" ht="78" customHeight="1" x14ac:dyDescent="0.25">
      <c r="A20" s="77"/>
      <c r="B20" s="57"/>
      <c r="C20" s="58"/>
      <c r="G20" s="57"/>
      <c r="H20" s="57"/>
      <c r="J20" s="57"/>
    </row>
    <row r="21" spans="1:10" ht="78" customHeight="1" x14ac:dyDescent="0.25">
      <c r="A21" s="77"/>
      <c r="B21" s="57"/>
      <c r="C21" s="58"/>
      <c r="G21" s="57"/>
      <c r="H21" s="57"/>
      <c r="J21" s="57"/>
    </row>
    <row r="22" spans="1:10" ht="15" customHeight="1" x14ac:dyDescent="0.25">
      <c r="A22" s="77"/>
      <c r="B22" s="78"/>
      <c r="C22" s="78"/>
      <c r="D22" s="78"/>
      <c r="E22" s="78"/>
      <c r="F22" s="78"/>
      <c r="G22" s="78"/>
      <c r="H22" s="56"/>
      <c r="J22" s="56"/>
    </row>
    <row r="23" spans="1:10" ht="42" customHeight="1" x14ac:dyDescent="0.25">
      <c r="A23" s="77"/>
      <c r="B23" s="57"/>
      <c r="C23" s="58"/>
      <c r="G23" s="57"/>
      <c r="H23" s="57"/>
      <c r="J23" s="57"/>
    </row>
    <row r="24" spans="1:10" ht="62.25" customHeight="1" x14ac:dyDescent="0.25">
      <c r="A24" s="77"/>
      <c r="B24" s="57"/>
      <c r="C24" s="58"/>
      <c r="G24" s="57"/>
      <c r="H24" s="57"/>
      <c r="J24" s="57"/>
    </row>
    <row r="25" spans="1:10" ht="63.75" customHeight="1" x14ac:dyDescent="0.25">
      <c r="A25" s="77"/>
      <c r="B25" s="57"/>
      <c r="C25" s="58"/>
      <c r="G25" s="60"/>
      <c r="H25" s="57"/>
      <c r="J25" s="57"/>
    </row>
    <row r="26" spans="1:10" x14ac:dyDescent="0.25">
      <c r="A26" s="79"/>
      <c r="B26" s="79"/>
      <c r="C26" s="79"/>
      <c r="D26" s="79"/>
      <c r="E26" s="79"/>
      <c r="F26" s="79"/>
      <c r="G26" s="79"/>
      <c r="H26" s="1"/>
      <c r="I26" s="61"/>
      <c r="J26" s="62"/>
    </row>
    <row r="32" spans="1:10" x14ac:dyDescent="0.25">
      <c r="C32" s="57"/>
      <c r="D32" s="21"/>
    </row>
    <row r="42" spans="2:6" x14ac:dyDescent="0.25">
      <c r="B42" s="63"/>
      <c r="C42" s="57"/>
      <c r="D42" s="57"/>
      <c r="E42" s="57"/>
      <c r="F42" s="57"/>
    </row>
  </sheetData>
  <mergeCells count="9">
    <mergeCell ref="A22:A25"/>
    <mergeCell ref="B22:G22"/>
    <mergeCell ref="A26:G26"/>
    <mergeCell ref="A2:A8"/>
    <mergeCell ref="B2:G2"/>
    <mergeCell ref="A9:A16"/>
    <mergeCell ref="B9:G9"/>
    <mergeCell ref="A17:A21"/>
    <mergeCell ref="B17:G17"/>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zoomScaleNormal="100" workbookViewId="0">
      <selection activeCell="G3" sqref="G3"/>
    </sheetView>
  </sheetViews>
  <sheetFormatPr defaultColWidth="9.140625" defaultRowHeight="15" x14ac:dyDescent="0.25"/>
  <cols>
    <col min="1" max="1" width="25.28515625" style="3" customWidth="1"/>
    <col min="2" max="2" width="9.140625" style="3"/>
    <col min="3" max="3" width="20.7109375" style="3" customWidth="1"/>
    <col min="4" max="4" width="19.140625" style="3" customWidth="1"/>
    <col min="5" max="5" width="17" style="3" customWidth="1"/>
    <col min="6" max="6" width="16.140625" style="3" customWidth="1"/>
    <col min="7" max="7" width="87" style="3" customWidth="1"/>
    <col min="8" max="8" width="11.5703125" style="3" customWidth="1"/>
    <col min="9" max="9" width="9.140625" style="3"/>
    <col min="10" max="10" width="15.85546875" style="3" customWidth="1"/>
    <col min="11" max="11" width="40.140625" style="3" customWidth="1"/>
    <col min="12" max="16384" width="9.140625" style="3"/>
  </cols>
  <sheetData>
    <row r="1" spans="1:11" x14ac:dyDescent="0.25">
      <c r="A1" s="27"/>
      <c r="B1" s="28" t="s">
        <v>14</v>
      </c>
      <c r="C1" s="28" t="s">
        <v>15</v>
      </c>
      <c r="D1" s="28" t="s">
        <v>16</v>
      </c>
      <c r="E1" s="28" t="s">
        <v>17</v>
      </c>
      <c r="F1" s="28" t="s">
        <v>18</v>
      </c>
      <c r="G1" s="28" t="s">
        <v>19</v>
      </c>
      <c r="H1" s="29" t="s">
        <v>20</v>
      </c>
      <c r="I1" s="28" t="s">
        <v>21</v>
      </c>
      <c r="J1" s="28" t="s">
        <v>22</v>
      </c>
      <c r="K1" s="30" t="s">
        <v>23</v>
      </c>
    </row>
    <row r="2" spans="1:11" ht="17.25" customHeight="1" x14ac:dyDescent="0.25">
      <c r="A2" s="80" t="s">
        <v>6</v>
      </c>
      <c r="B2" s="86" t="s">
        <v>24</v>
      </c>
      <c r="C2" s="86"/>
      <c r="D2" s="86"/>
      <c r="E2" s="86"/>
      <c r="F2" s="86"/>
      <c r="G2" s="86"/>
      <c r="H2" s="64">
        <f>SUM(H3:H9)</f>
        <v>25</v>
      </c>
      <c r="I2" s="31"/>
      <c r="J2" s="31">
        <f>SUM(J4:J8)</f>
        <v>0</v>
      </c>
      <c r="K2" s="33"/>
    </row>
    <row r="3" spans="1:11" ht="54.75" customHeight="1" x14ac:dyDescent="0.25">
      <c r="A3" s="80"/>
      <c r="B3" s="65" t="s">
        <v>46</v>
      </c>
      <c r="C3" s="66" t="s">
        <v>47</v>
      </c>
      <c r="D3" s="67"/>
      <c r="E3" s="67"/>
      <c r="F3" s="67"/>
      <c r="G3" s="68" t="s">
        <v>48</v>
      </c>
      <c r="H3" s="69">
        <v>2</v>
      </c>
      <c r="I3" s="70"/>
      <c r="J3" s="38"/>
      <c r="K3" s="71"/>
    </row>
    <row r="4" spans="1:11" ht="59.25" customHeight="1" x14ac:dyDescent="0.25">
      <c r="A4" s="80"/>
      <c r="B4" s="41" t="s">
        <v>49</v>
      </c>
      <c r="C4" s="42" t="s">
        <v>50</v>
      </c>
      <c r="D4" s="44"/>
      <c r="E4" s="44"/>
      <c r="F4" s="44"/>
      <c r="G4" s="44" t="s">
        <v>51</v>
      </c>
      <c r="H4" s="44">
        <v>4</v>
      </c>
      <c r="I4" s="44"/>
      <c r="J4" s="38">
        <f t="shared" ref="J4:J9" si="0">H4*I4/10</f>
        <v>0</v>
      </c>
      <c r="K4" s="72"/>
    </row>
    <row r="5" spans="1:11" ht="50.25" customHeight="1" x14ac:dyDescent="0.25">
      <c r="A5" s="80"/>
      <c r="B5" s="41" t="s">
        <v>52</v>
      </c>
      <c r="C5" s="42" t="s">
        <v>53</v>
      </c>
      <c r="D5" s="44"/>
      <c r="E5" s="44"/>
      <c r="F5" s="44"/>
      <c r="G5" s="44" t="s">
        <v>54</v>
      </c>
      <c r="H5" s="44">
        <v>4</v>
      </c>
      <c r="I5" s="44"/>
      <c r="J5" s="38">
        <f t="shared" si="0"/>
        <v>0</v>
      </c>
      <c r="K5" s="72"/>
    </row>
    <row r="6" spans="1:11" ht="29.25" customHeight="1" x14ac:dyDescent="0.25">
      <c r="A6" s="80"/>
      <c r="B6" s="41" t="s">
        <v>55</v>
      </c>
      <c r="C6" s="42" t="s">
        <v>56</v>
      </c>
      <c r="D6" s="44"/>
      <c r="E6" s="44"/>
      <c r="F6" s="44"/>
      <c r="G6" s="44" t="s">
        <v>57</v>
      </c>
      <c r="H6" s="44">
        <v>3</v>
      </c>
      <c r="I6" s="44"/>
      <c r="J6" s="38">
        <f t="shared" si="0"/>
        <v>0</v>
      </c>
      <c r="K6" s="72"/>
    </row>
    <row r="7" spans="1:11" ht="37.5" customHeight="1" x14ac:dyDescent="0.25">
      <c r="A7" s="80"/>
      <c r="B7" s="41" t="s">
        <v>58</v>
      </c>
      <c r="C7" s="42" t="s">
        <v>59</v>
      </c>
      <c r="D7" s="43"/>
      <c r="E7" s="43"/>
      <c r="F7" s="43"/>
      <c r="G7" s="44" t="s">
        <v>60</v>
      </c>
      <c r="H7" s="44">
        <v>4</v>
      </c>
      <c r="I7" s="43"/>
      <c r="J7" s="38">
        <f t="shared" si="0"/>
        <v>0</v>
      </c>
      <c r="K7" s="47"/>
    </row>
    <row r="8" spans="1:11" ht="37.5" customHeight="1" x14ac:dyDescent="0.25">
      <c r="A8" s="80"/>
      <c r="B8" s="41" t="s">
        <v>61</v>
      </c>
      <c r="C8" s="42" t="s">
        <v>62</v>
      </c>
      <c r="D8" s="43"/>
      <c r="E8" s="43"/>
      <c r="F8" s="43"/>
      <c r="G8" s="44" t="s">
        <v>63</v>
      </c>
      <c r="H8" s="44">
        <v>3</v>
      </c>
      <c r="I8" s="43"/>
      <c r="J8" s="38">
        <f t="shared" si="0"/>
        <v>0</v>
      </c>
      <c r="K8" s="47"/>
    </row>
    <row r="9" spans="1:11" ht="51.75" customHeight="1" x14ac:dyDescent="0.25">
      <c r="A9" s="80"/>
      <c r="B9" s="73" t="s">
        <v>64</v>
      </c>
      <c r="C9" s="74" t="s">
        <v>65</v>
      </c>
      <c r="D9" s="74"/>
      <c r="E9" s="74"/>
      <c r="F9" s="74"/>
      <c r="G9" s="54" t="s">
        <v>66</v>
      </c>
      <c r="H9" s="75">
        <v>5</v>
      </c>
      <c r="I9" s="54"/>
      <c r="J9" s="54">
        <f t="shared" si="0"/>
        <v>0</v>
      </c>
      <c r="K9" s="76"/>
    </row>
    <row r="15" spans="1:11" x14ac:dyDescent="0.25">
      <c r="C15" s="57"/>
      <c r="D15" s="21"/>
    </row>
    <row r="25" spans="2:6" x14ac:dyDescent="0.25">
      <c r="B25" s="63"/>
      <c r="C25" s="57"/>
      <c r="D25" s="57"/>
      <c r="E25" s="57"/>
      <c r="F25" s="57"/>
    </row>
  </sheetData>
  <mergeCells count="2">
    <mergeCell ref="A2:A9"/>
    <mergeCell ref="B2:G2"/>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18</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Rubric_Explanation</vt:lpstr>
      <vt:lpstr>Rubric_ShortPaper</vt:lpstr>
      <vt:lpstr>Rubric_PosterandPitch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Tycho van Rooij</cp:lastModifiedBy>
  <cp:revision>1</cp:revision>
  <dcterms:created xsi:type="dcterms:W3CDTF">2024-05-27T05:32:57Z</dcterms:created>
  <dcterms:modified xsi:type="dcterms:W3CDTF">2026-11-01T22:21:23Z</dcterms:modified>
  <dc:language>en-US</dc:language>
</cp:coreProperties>
</file>